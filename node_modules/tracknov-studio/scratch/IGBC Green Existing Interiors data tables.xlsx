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 Statement" sheetId="1" r:id="rId4"/>
    <sheet state="visible" name="EDA Credit 2" sheetId="2" r:id="rId5"/>
    <sheet state="visible" name="EDA Credit 3" sheetId="3" r:id="rId6"/>
    <sheet state="visible" name="WE Credit-1" sheetId="4" r:id="rId7"/>
    <sheet state="visible" name="EE Credit 2" sheetId="5" r:id="rId8"/>
    <sheet state="visible" name="EE Credit 3" sheetId="6" r:id="rId9"/>
    <sheet state="visible" name="EE Credit 4" sheetId="7" r:id="rId10"/>
    <sheet state="visible" name="EE Credit 5" sheetId="8" r:id="rId11"/>
    <sheet state="visible" name="IM Credit 1" sheetId="9" r:id="rId12"/>
    <sheet state="visible" name="IM Credit 2" sheetId="10" r:id="rId13"/>
    <sheet state="visible" name="IM Credit 3" sheetId="11" r:id="rId14"/>
    <sheet state="visible" name="IM Credit 4" sheetId="12" r:id="rId15"/>
    <sheet state="visible" name="IM Credit 5" sheetId="13" r:id="rId16"/>
    <sheet state="visible" name="IM Credit 6" sheetId="14" r:id="rId17"/>
    <sheet state="visible" name="IM Credit 7" sheetId="15" r:id="rId18"/>
    <sheet state="visible" name="IE Credit 1" sheetId="16" r:id="rId19"/>
    <sheet state="visible" name="IE Credit 2" sheetId="17" r:id="rId20"/>
    <sheet state="visible" name="IE Credit 4 " sheetId="18" r:id="rId21"/>
    <sheet state="visible" name="IE Credit 5" sheetId="19" r:id="rId22"/>
    <sheet state="visible" name="IE Credit 6" sheetId="20" r:id="rId23"/>
    <sheet state="visible" name="IE Credit 7" sheetId="21" r:id="rId24"/>
    <sheet state="visible" name="IE Credit 9" sheetId="22" r:id="rId25"/>
    <sheet state="visible" name="IE Credit 13" sheetId="23" r:id="rId26"/>
    <sheet state="visible" name="IE MR 2" sheetId="24" r:id="rId27"/>
    <sheet state="visible" name="Annexure- B" sheetId="25" r:id="rId28"/>
    <sheet state="visible" name="Annexure- C" sheetId="26" r:id="rId29"/>
  </sheets>
  <definedNames/>
  <calcPr/>
  <extLst>
    <ext uri="GoogleSheetsCustomDataVersion2">
      <go:sheetsCustomData xmlns:go="http://customooxmlschemas.google.com/" r:id="rId30" roundtripDataChecksum="K4oL8o7gBsGjX/mMafxAVPChEezS58/A1Ow0seKMbGk="/>
    </ext>
  </extLst>
</workbook>
</file>

<file path=xl/sharedStrings.xml><?xml version="1.0" encoding="utf-8"?>
<sst xmlns="http://schemas.openxmlformats.org/spreadsheetml/2006/main" count="831" uniqueCount="566">
  <si>
    <t>Area Statement</t>
  </si>
  <si>
    <t>SQ FT</t>
  </si>
  <si>
    <t>Built-up area</t>
  </si>
  <si>
    <t>Total carpet area</t>
  </si>
  <si>
    <t>Regularly occupied spaces</t>
  </si>
  <si>
    <t>Non-regularly occupied spaces</t>
  </si>
  <si>
    <t xml:space="preserve">Optimise Circulation Spaces </t>
  </si>
  <si>
    <t>Description</t>
  </si>
  <si>
    <t>Area (sq.ft)</t>
  </si>
  <si>
    <t xml:space="preserve">Total carpet area </t>
  </si>
  <si>
    <t>Furniture area</t>
  </si>
  <si>
    <t>Equipment area</t>
  </si>
  <si>
    <t>Storage space</t>
  </si>
  <si>
    <t>Circulation space</t>
  </si>
  <si>
    <t>% of circulation space</t>
  </si>
  <si>
    <t>Public Transportation Proximity</t>
  </si>
  <si>
    <t>S. No</t>
  </si>
  <si>
    <t>Transport Mode</t>
  </si>
  <si>
    <t>Availability of Public Transport</t>
  </si>
  <si>
    <t>Distance from Project Entrance</t>
  </si>
  <si>
    <t>Unit</t>
  </si>
  <si>
    <t>Bus Stand</t>
  </si>
  <si>
    <t>Yes</t>
  </si>
  <si>
    <t>meters</t>
  </si>
  <si>
    <t>Water Conservation</t>
  </si>
  <si>
    <t>Type of Fixtures</t>
  </si>
  <si>
    <t>Duration</t>
  </si>
  <si>
    <t>Daily uses per FTE</t>
  </si>
  <si>
    <t>No. of Occupants</t>
  </si>
  <si>
    <t>Base Line</t>
  </si>
  <si>
    <t>Proposed</t>
  </si>
  <si>
    <t>Flow Rate / Capacity (LPF / LPM)</t>
  </si>
  <si>
    <t>Total daily Water</t>
  </si>
  <si>
    <t>Flow rate / Capacity (LPF / LPM)</t>
  </si>
  <si>
    <t>Total Daily Water use</t>
  </si>
  <si>
    <t>Water Closets (Full Flush)</t>
  </si>
  <si>
    <t>1 Flush</t>
  </si>
  <si>
    <t>1 Male</t>
  </si>
  <si>
    <t>1 Female</t>
  </si>
  <si>
    <t>Water Closets (Small Flush)</t>
  </si>
  <si>
    <t>2Female</t>
  </si>
  <si>
    <t>Urinals</t>
  </si>
  <si>
    <t>2 Male</t>
  </si>
  <si>
    <t>Faucets/ Taps</t>
  </si>
  <si>
    <t>Daily Volume from Flush Fixtures (Black Water)</t>
  </si>
  <si>
    <t>Litres</t>
  </si>
  <si>
    <t>Daily Volume from Flush Fixtures (Grey Water)</t>
  </si>
  <si>
    <t>Total</t>
  </si>
  <si>
    <t>Percentage (%)</t>
  </si>
  <si>
    <t>FTE Calculation</t>
  </si>
  <si>
    <t>Permanent Occupants</t>
  </si>
  <si>
    <t>Transit occupants</t>
  </si>
  <si>
    <t xml:space="preserve">vendor declaration as per above table </t>
  </si>
  <si>
    <t>Sr. Nos.</t>
  </si>
  <si>
    <t>Description of Goods (Model No.)</t>
  </si>
  <si>
    <t>Type of Fixture</t>
  </si>
  <si>
    <t>Flow Rate at 4 bar pressure</t>
  </si>
  <si>
    <t>Quantity</t>
  </si>
  <si>
    <t>GST Rate</t>
  </si>
  <si>
    <t>Rate</t>
  </si>
  <si>
    <t>Unit/per</t>
  </si>
  <si>
    <t>Amount</t>
  </si>
  <si>
    <t>Hand Held spray</t>
  </si>
  <si>
    <t>Water Closets (Dual Flush)</t>
  </si>
  <si>
    <t>Air conditioning</t>
  </si>
  <si>
    <t>Total regularly occupied spaces</t>
  </si>
  <si>
    <t>Total non-regularly occupied spaces (Toilets, Pantry, Locker room)</t>
  </si>
  <si>
    <t>Actual Air-conditioned area</t>
  </si>
  <si>
    <t>% of air-conditioned area</t>
  </si>
  <si>
    <t>Building Area Method LPD Calculations</t>
  </si>
  <si>
    <t>space</t>
  </si>
  <si>
    <t>Lighting fixtures</t>
  </si>
  <si>
    <t>Fixture power (watts)</t>
  </si>
  <si>
    <t>Total No. of fixtures</t>
  </si>
  <si>
    <t xml:space="preserve">Total Watts </t>
  </si>
  <si>
    <t>Baseline LPD(W/ sq.m)</t>
  </si>
  <si>
    <t>Total Area (sq.m)</t>
  </si>
  <si>
    <t>LPD Calculated</t>
  </si>
  <si>
    <t>BOH GF</t>
  </si>
  <si>
    <t xml:space="preserve">2X2 RECESSED </t>
  </si>
  <si>
    <t>AN 2055 DL</t>
  </si>
  <si>
    <t>FOH GF</t>
  </si>
  <si>
    <t>AN 3003/14.8W</t>
  </si>
  <si>
    <t>STAIRCASE</t>
  </si>
  <si>
    <t>AN 3006</t>
  </si>
  <si>
    <t>BOH FF</t>
  </si>
  <si>
    <t>AN 2055</t>
  </si>
  <si>
    <t>FOH FF</t>
  </si>
  <si>
    <t>AL201B HL</t>
  </si>
  <si>
    <t>AN 3056 TRACK</t>
  </si>
  <si>
    <t>WASHROOM AREA</t>
  </si>
  <si>
    <t>Total Watts (W)</t>
  </si>
  <si>
    <t>Total baseline calculated (w/sq. m )</t>
  </si>
  <si>
    <t>Total LPD Calculated (W/ sq. m))</t>
  </si>
  <si>
    <t>Percentage below baseline %</t>
  </si>
  <si>
    <t>List of Energy efficient appliances</t>
  </si>
  <si>
    <t>Name of the Appliances</t>
  </si>
  <si>
    <t>Available at project site</t>
  </si>
  <si>
    <t>BEE Star/Energystar</t>
  </si>
  <si>
    <t>Refrigerator</t>
  </si>
  <si>
    <t>Photocopiers</t>
  </si>
  <si>
    <t>Water coolers</t>
  </si>
  <si>
    <t>UPS</t>
  </si>
  <si>
    <t>Coffee vending machines</t>
  </si>
  <si>
    <t>TVs</t>
  </si>
  <si>
    <t>Fans</t>
  </si>
  <si>
    <t>No</t>
  </si>
  <si>
    <t>Printers</t>
  </si>
  <si>
    <t>Monitors</t>
  </si>
  <si>
    <t>Laptops</t>
  </si>
  <si>
    <t>Others</t>
  </si>
  <si>
    <t>Metering &amp; Management: Sub- metering</t>
  </si>
  <si>
    <t>Types of Sub- meters</t>
  </si>
  <si>
    <t>Yes / No</t>
  </si>
  <si>
    <t>Lighting circuits</t>
  </si>
  <si>
    <t>yes</t>
  </si>
  <si>
    <t>HVAC</t>
  </si>
  <si>
    <t>Kitchen Equipment</t>
  </si>
  <si>
    <t>Meters measuring renewable energy ( generation/ consumption)</t>
  </si>
  <si>
    <t>Misc.</t>
  </si>
  <si>
    <t>On-site Renewable Energy: Calculations</t>
  </si>
  <si>
    <t>On Site Renewable Energy</t>
  </si>
  <si>
    <t>Energy (kW/hr)</t>
  </si>
  <si>
    <t>Total annual electricity consumption</t>
  </si>
  <si>
    <t>Capacity of solar PV provided on site</t>
  </si>
  <si>
    <t>3kWp</t>
  </si>
  <si>
    <t>Annual Energy generation</t>
  </si>
  <si>
    <t>Percentage %</t>
  </si>
  <si>
    <t>Off-site Renewable Energy: Calculations</t>
  </si>
  <si>
    <t>Green power source</t>
  </si>
  <si>
    <t>Yes/No</t>
  </si>
  <si>
    <t>Power procured</t>
  </si>
  <si>
    <t>Units (kW)</t>
  </si>
  <si>
    <t>Green tariff</t>
  </si>
  <si>
    <t>NA</t>
  </si>
  <si>
    <t>Power purchase</t>
  </si>
  <si>
    <t>Wheeling</t>
  </si>
  <si>
    <t>Off Site Renewable Energy</t>
  </si>
  <si>
    <t>Off-site renewable energy procured annualy</t>
  </si>
  <si>
    <t>Energy Efficiency</t>
  </si>
  <si>
    <t>Install on-site renewable energy systems equivalent to atleast 5% of the total energy
consumption of the Interior Space</t>
  </si>
  <si>
    <t xml:space="preserve">                             Or</t>
  </si>
  <si>
    <t>Install in off -site renewable energy systems equivalent to atleast 5% of the total
energy consumption of the Interior Space</t>
  </si>
  <si>
    <t xml:space="preserve">                              Or</t>
  </si>
  <si>
    <t>Demonstrate that the project has purchased Renewable energy
certificates(REC’s)</t>
  </si>
  <si>
    <t>Annual Energy Comsumption (kwh)</t>
  </si>
  <si>
    <t>Installed capacity of the RE system (kwh)</t>
  </si>
  <si>
    <t>Percentage</t>
  </si>
  <si>
    <t>Embodied Energy</t>
  </si>
  <si>
    <t>Material</t>
  </si>
  <si>
    <t>Energy MJ
per kg</t>
  </si>
  <si>
    <t>Carbon kg CO2
per kg</t>
  </si>
  <si>
    <t>Density kg / m3</t>
  </si>
  <si>
    <t>Concrete (1:1.5:3)</t>
  </si>
  <si>
    <t>Not attempting</t>
  </si>
  <si>
    <t>Aerated block</t>
  </si>
  <si>
    <t>Marble</t>
  </si>
  <si>
    <t>Steel</t>
  </si>
  <si>
    <t>Timber</t>
  </si>
  <si>
    <t>Glass wood insulation</t>
  </si>
  <si>
    <t>Mineral fibre ceiling tile</t>
  </si>
  <si>
    <t>Aluminum</t>
  </si>
  <si>
    <t>MDF</t>
  </si>
  <si>
    <t>Plywood</t>
  </si>
  <si>
    <t>Plaster board</t>
  </si>
  <si>
    <t>Gypsum Plaster</t>
  </si>
  <si>
    <t>Glass</t>
  </si>
  <si>
    <t>Vinyl flooring</t>
  </si>
  <si>
    <t>Ceramic Tiles</t>
  </si>
  <si>
    <t>Interior Materials Credit 1: Waste Management (During Installation)</t>
  </si>
  <si>
    <t>Ensure that the waste generated(either by weight or volume) During Installation is minimized Following
measures can be implemented</t>
  </si>
  <si>
    <t>Explore Reusing the waste with the same premesis/interiors</t>
  </si>
  <si>
    <t>Sell the waste to a local recycler / Hauler</t>
  </si>
  <si>
    <t>Donate the waste to other projects for reuse</t>
  </si>
  <si>
    <t>Construction Material</t>
  </si>
  <si>
    <t>Units Metric</t>
  </si>
  <si>
    <t>Quantity Of Waste</t>
  </si>
  <si>
    <t>Please Select Diversion category</t>
  </si>
  <si>
    <t>Area of Application</t>
  </si>
  <si>
    <t>Generated</t>
  </si>
  <si>
    <t>Reused / Recycled</t>
  </si>
  <si>
    <t>Sent to Land Fills</t>
  </si>
  <si>
    <t>Kgs</t>
  </si>
  <si>
    <t>sell to recycler vendor</t>
  </si>
  <si>
    <t>For Recycling</t>
  </si>
  <si>
    <t>wood</t>
  </si>
  <si>
    <t>Donated to carpenter</t>
  </si>
  <si>
    <t>used in filling</t>
  </si>
  <si>
    <t>Packaging Material</t>
  </si>
  <si>
    <t>Paint buckets</t>
  </si>
  <si>
    <t xml:space="preserve">Donated to labours </t>
  </si>
  <si>
    <t>As containers for tools</t>
  </si>
  <si>
    <t>Aluminium</t>
  </si>
  <si>
    <t>Flooring tiles</t>
  </si>
  <si>
    <t>Reuse on same site</t>
  </si>
  <si>
    <t>For raised floor filling</t>
  </si>
  <si>
    <t>Siporex Block</t>
  </si>
  <si>
    <t>M S material</t>
  </si>
  <si>
    <t>For recycling</t>
  </si>
  <si>
    <t>G I Sheet</t>
  </si>
  <si>
    <t>CPVC/ PVC Pipes</t>
  </si>
  <si>
    <t>kgs</t>
  </si>
  <si>
    <t>Making PVC chiplets</t>
  </si>
  <si>
    <t>Wires</t>
  </si>
  <si>
    <t>Stripped and recycled</t>
  </si>
  <si>
    <t>gypsum boards</t>
  </si>
  <si>
    <t>Stone</t>
  </si>
  <si>
    <t>Total Quantity</t>
  </si>
  <si>
    <t>Total Quantity of Waste Diverted</t>
  </si>
  <si>
    <t>IM Credit 2: Local Materials</t>
  </si>
  <si>
    <t>Construction Cost (Civil &amp; Interiors)</t>
  </si>
  <si>
    <t>Construction Cost (Plumbing)</t>
  </si>
  <si>
    <t>Total construction Cost (including Labour and installation)</t>
  </si>
  <si>
    <t>Total construction Cost (excluding Labour and installation) (@60% of total construction civil and plumbing cost)</t>
  </si>
  <si>
    <t>Total Local Material Cost (excluding Labour and installation)</t>
  </si>
  <si>
    <t>Local Materials Cost (sourced within 500kms of site boundary)</t>
  </si>
  <si>
    <t>Material / Product Name</t>
  </si>
  <si>
    <t>Material / Product Cost</t>
  </si>
  <si>
    <t>Distance Between Project size and Manufacturing Location</t>
  </si>
  <si>
    <t>Material Sourced From</t>
  </si>
  <si>
    <t>Number</t>
  </si>
  <si>
    <t>Unit (Metric)</t>
  </si>
  <si>
    <t>Cost Per Unit</t>
  </si>
  <si>
    <t>Total Cost</t>
  </si>
  <si>
    <t>100MM THK SIPOREX WALL</t>
  </si>
  <si>
    <t>Sft</t>
  </si>
  <si>
    <t>ujjain</t>
  </si>
  <si>
    <t>INTERNAL PLASTER</t>
  </si>
  <si>
    <t>nimbaheda</t>
  </si>
  <si>
    <t>SIPOREX BAT COBA- upto 100MM</t>
  </si>
  <si>
    <t>SIPOREX BAT COBA- upto 150MM</t>
  </si>
  <si>
    <t>SIPOREX BAT COBA- upto 200MM</t>
  </si>
  <si>
    <t>SIPOREX BAT COBA- upto 250MM</t>
  </si>
  <si>
    <t>WATER PROOFING-TAPE CRETE</t>
  </si>
  <si>
    <t>nemawar</t>
  </si>
  <si>
    <t>GRANITE PARTITION DOUBLE THICKNESS</t>
  </si>
  <si>
    <t>makrana</t>
  </si>
  <si>
    <t>GRANITE THRESHOLD IN FLOORING AND JAMB LINING</t>
  </si>
  <si>
    <t>Rft</t>
  </si>
  <si>
    <t>GRANITE SKIRTING</t>
  </si>
  <si>
    <t>GRANITE DOOR FRAMING</t>
  </si>
  <si>
    <t>GRANITE HANDWASH COUNTER</t>
  </si>
  <si>
    <t>KOTA STONE FLOORING</t>
  </si>
  <si>
    <t>kota</t>
  </si>
  <si>
    <t>DADO TILES (8'-0” HT) FOR KFC</t>
  </si>
  <si>
    <t>dewas</t>
  </si>
  <si>
    <t>DADO TILES (8'-0" HT)</t>
  </si>
  <si>
    <t>SAL WOOD DOOR FRAME</t>
  </si>
  <si>
    <t>bhopal</t>
  </si>
  <si>
    <t>SS EDGE PROFILE</t>
  </si>
  <si>
    <t>indore</t>
  </si>
  <si>
    <t>SS KICK PLATE</t>
  </si>
  <si>
    <t>Nos</t>
  </si>
  <si>
    <t>MS FRAME WORK FOR BACKING FOR OVENS / ETC</t>
  </si>
  <si>
    <t>pithampur</t>
  </si>
  <si>
    <t>MS STRUCTURES FOR RO, DG, WATER TANKS, ETC</t>
  </si>
  <si>
    <t>kg</t>
  </si>
  <si>
    <t>MS ENCLOSURE RO ETC</t>
  </si>
  <si>
    <t>nos</t>
  </si>
  <si>
    <t>MS ENCLOSURE FOR STABILISER</t>
  </si>
  <si>
    <t>IM Credit 3: Recycled Materials</t>
  </si>
  <si>
    <t>Total Recycled Content Material Cost</t>
  </si>
  <si>
    <t>Material Products</t>
  </si>
  <si>
    <t>Percentage of Recycled Content</t>
  </si>
  <si>
    <t>Recycled Content Value (rs)</t>
  </si>
  <si>
    <t>Information source</t>
  </si>
  <si>
    <t>Unit Metric</t>
  </si>
  <si>
    <t>Cost Per Unit (rs)</t>
  </si>
  <si>
    <t>Total cost (rs)</t>
  </si>
  <si>
    <t>Cum</t>
  </si>
  <si>
    <t>Cement</t>
  </si>
  <si>
    <t>GreenPro Certifcate</t>
  </si>
  <si>
    <t>Sqft</t>
  </si>
  <si>
    <t>Gypsum</t>
  </si>
  <si>
    <t>Nos.</t>
  </si>
  <si>
    <t>Tiles</t>
  </si>
  <si>
    <t>GreenPro Certifcate, FSC</t>
  </si>
  <si>
    <t>Flush Door</t>
  </si>
  <si>
    <t>ACP</t>
  </si>
  <si>
    <t xml:space="preserve">  Interior Materials- Salvaged Materials</t>
  </si>
  <si>
    <t xml:space="preserve">Total Cost of Salvaged materials </t>
  </si>
  <si>
    <t>Total Value of Salvaged material in percentage</t>
  </si>
  <si>
    <t>Salvaged Material</t>
  </si>
  <si>
    <t>Application Areas in the interiors</t>
  </si>
  <si>
    <t>Information Source</t>
  </si>
  <si>
    <t>Units (Metric)</t>
  </si>
  <si>
    <t>Cost per unit (rs)</t>
  </si>
  <si>
    <t>Total Cost (rs)</t>
  </si>
  <si>
    <t xml:space="preserve">Siporex block tukdi (rubble) </t>
  </si>
  <si>
    <t>K.G</t>
  </si>
  <si>
    <t>Floor filling</t>
  </si>
  <si>
    <t>invoice of waste material  Purchase from supplier</t>
  </si>
  <si>
    <t>Eco friendly wood based materials</t>
  </si>
  <si>
    <t>Total wood material cost</t>
  </si>
  <si>
    <t>Material product Name</t>
  </si>
  <si>
    <t>Manufacturer Vendor Name</t>
  </si>
  <si>
    <t>Material Product Cost</t>
  </si>
  <si>
    <t>Percentage of Rapidly Renewable material</t>
  </si>
  <si>
    <t>Value Qualifing as rapidly renewable</t>
  </si>
  <si>
    <t>Appliacation Areas in the project</t>
  </si>
  <si>
    <t>MDF Board</t>
  </si>
  <si>
    <t>Century Ply</t>
  </si>
  <si>
    <t>Paneling in Wall</t>
  </si>
  <si>
    <t>Manufacturer Letter</t>
  </si>
  <si>
    <t>Plyboard</t>
  </si>
  <si>
    <t>furniture &amp; column paneling</t>
  </si>
  <si>
    <t>Laminates</t>
  </si>
  <si>
    <t>Merino</t>
  </si>
  <si>
    <t>Durian</t>
  </si>
  <si>
    <t>Furniture inside</t>
  </si>
  <si>
    <t>Total cost of rapidly Renewable Material</t>
  </si>
  <si>
    <t>Eco- certified Interior Furniture</t>
  </si>
  <si>
    <t>Types</t>
  </si>
  <si>
    <t>Certified</t>
  </si>
  <si>
    <t>Qty</t>
  </si>
  <si>
    <t>Cost per unit</t>
  </si>
  <si>
    <t>Total cost</t>
  </si>
  <si>
    <t>Manager Room</t>
  </si>
  <si>
    <t>Chairs</t>
  </si>
  <si>
    <t>Not Eco-Certified</t>
  </si>
  <si>
    <t>Tables</t>
  </si>
  <si>
    <t>Breakout spaces</t>
  </si>
  <si>
    <t>Dining Area</t>
  </si>
  <si>
    <t>BIFMA Certified</t>
  </si>
  <si>
    <t xml:space="preserve">Chairs </t>
  </si>
  <si>
    <t>Sofa</t>
  </si>
  <si>
    <t>Poufee</t>
  </si>
  <si>
    <t>Dumpster Bin</t>
  </si>
  <si>
    <t>Dumpster Bin Jali</t>
  </si>
  <si>
    <t>Total cost of furniture, Rs.</t>
  </si>
  <si>
    <t>Cost of eco-certified furniture, Rs.</t>
  </si>
  <si>
    <t>% of eco-certified furniture</t>
  </si>
  <si>
    <t>Purchase of Green Consumables</t>
  </si>
  <si>
    <t>Green consumables</t>
  </si>
  <si>
    <t>Yes/ No</t>
  </si>
  <si>
    <t>Not applicable for new interiors</t>
  </si>
  <si>
    <t>Recycled paper</t>
  </si>
  <si>
    <t>Eco-friendly chemicals</t>
  </si>
  <si>
    <t>No plastic use</t>
  </si>
  <si>
    <t>Enhanced Fresh Air Ventilation: Calculations</t>
  </si>
  <si>
    <t>Space Description</t>
  </si>
  <si>
    <t>Non-Airconditioned Area, sqft (Regularly occupied)</t>
  </si>
  <si>
    <t>Airconditioned Area, sqft (Regularly occupied)</t>
  </si>
  <si>
    <t>Occupancy, nos.</t>
  </si>
  <si>
    <t>Outdoor Airflow Rate/Person</t>
  </si>
  <si>
    <t>Outdoor Airflow Rate/sqft</t>
  </si>
  <si>
    <t>Minimum Fresh Air Required (For IGBC Compliance)</t>
  </si>
  <si>
    <t>Fresh Air Provided as per FA Calculations sheet dated 31.10.2023 (R6)</t>
  </si>
  <si>
    <t>GF-Customer Area</t>
  </si>
  <si>
    <t>GF-Kitchen Area</t>
  </si>
  <si>
    <t>GF-Manager Area</t>
  </si>
  <si>
    <t>FF-Customer Area</t>
  </si>
  <si>
    <t>FF-Washroom Area</t>
  </si>
  <si>
    <t>FF-Crew Area</t>
  </si>
  <si>
    <t>Daylighting</t>
  </si>
  <si>
    <t>Space</t>
  </si>
  <si>
    <t>Area (sqm)</t>
  </si>
  <si>
    <t>Benchmark Lux Level</t>
  </si>
  <si>
    <t>Archieved Lux Level</t>
  </si>
  <si>
    <t>Area with adequate daylight</t>
  </si>
  <si>
    <t>Dining</t>
  </si>
  <si>
    <t>Reception</t>
  </si>
  <si>
    <t>Kitchen</t>
  </si>
  <si>
    <t>Storage</t>
  </si>
  <si>
    <t>Washrooms</t>
  </si>
  <si>
    <t>Percentage of Daylight</t>
  </si>
  <si>
    <t>Ergonomic Design</t>
  </si>
  <si>
    <t>Implemented at site</t>
  </si>
  <si>
    <t>Height Adjustable chairs</t>
  </si>
  <si>
    <t>NO</t>
  </si>
  <si>
    <t>Height Adjustable workstations</t>
  </si>
  <si>
    <t>Angle adjustable monitor arms</t>
  </si>
  <si>
    <t>CO2 Monitoring</t>
  </si>
  <si>
    <t>S.NO</t>
  </si>
  <si>
    <t>Particulars</t>
  </si>
  <si>
    <t xml:space="preserve">Area </t>
  </si>
  <si>
    <t>Units</t>
  </si>
  <si>
    <t>sq.ft</t>
  </si>
  <si>
    <t>CO2 sensors required</t>
  </si>
  <si>
    <t>CO2 sensors provided</t>
  </si>
  <si>
    <t>Indoor Plants</t>
  </si>
  <si>
    <t>Area</t>
  </si>
  <si>
    <t>SQ. FT</t>
  </si>
  <si>
    <t>Total number of plants required</t>
  </si>
  <si>
    <t>NOS</t>
  </si>
  <si>
    <t>Total number of plants provided</t>
  </si>
  <si>
    <t>Material Acoustic Performance</t>
  </si>
  <si>
    <t>Type of Material</t>
  </si>
  <si>
    <t>Criteria</t>
  </si>
  <si>
    <t>Minimum levels</t>
  </si>
  <si>
    <t>Ceiling systems</t>
  </si>
  <si>
    <t>Flooring systems</t>
  </si>
  <si>
    <t>Office types</t>
  </si>
  <si>
    <t>Enclosed offices</t>
  </si>
  <si>
    <t>Open office</t>
  </si>
  <si>
    <t>Minimise Indoor Pollutant Contamination</t>
  </si>
  <si>
    <t>Fresh air supply atleast 25ft away</t>
  </si>
  <si>
    <t>Entryway system of 6ft length</t>
  </si>
  <si>
    <t>YES</t>
  </si>
  <si>
    <t>Isolate areas exposed to hazardous gases</t>
  </si>
  <si>
    <t>Exhaust system</t>
  </si>
  <si>
    <t>Clear air-conditioning ducts</t>
  </si>
  <si>
    <t>Occupant Well-being Facilities</t>
  </si>
  <si>
    <t>Total occupants</t>
  </si>
  <si>
    <t>Recreational facility caters to</t>
  </si>
  <si>
    <t>Percentage of the occupants covered</t>
  </si>
  <si>
    <t>Transit occupants @1hr</t>
  </si>
  <si>
    <t>Indoor Environment : Fresh Air Ventilation</t>
  </si>
  <si>
    <t>Space Type</t>
  </si>
  <si>
    <t>Area – Outdoor Air Rate (cfm/sq.ft) (Ra)</t>
  </si>
  <si>
    <t>Restaurant Dining rooms</t>
  </si>
  <si>
    <t>Cafeteria/ fast food dining</t>
  </si>
  <si>
    <t>Conference/ meeting</t>
  </si>
  <si>
    <t>Hotels – bed/ living rooms</t>
  </si>
  <si>
    <t>Office space/ Reception area/ telephone/ data entry/ main entry lobby</t>
  </si>
  <si>
    <t>Libraries</t>
  </si>
  <si>
    <t>Retail spaces</t>
  </si>
  <si>
    <t>Super Market</t>
  </si>
  <si>
    <t>Auditorium</t>
  </si>
  <si>
    <t>Health club</t>
  </si>
  <si>
    <t>Corridors</t>
  </si>
  <si>
    <t>Computer lab</t>
  </si>
  <si>
    <t>Case Study with sample calculations – natural ventilation:</t>
  </si>
  <si>
    <t>Category</t>
  </si>
  <si>
    <t>Percentage of openable area to the total carpet area</t>
  </si>
  <si>
    <t>Floor Area (sqmts)</t>
  </si>
  <si>
    <t>Openable Window Area (towards exterior sq.m)</t>
  </si>
  <si>
    <t>Openable Door Area (towards exterior sq.m)</t>
  </si>
  <si>
    <t>Total Openable</t>
  </si>
  <si>
    <t>Openable area as a percentage of total carpet area (designed)</t>
  </si>
  <si>
    <t>Meeting Criteria (yes/no)</t>
  </si>
  <si>
    <t>Regularly occupied Area (&lt;100 Sq.m)</t>
  </si>
  <si>
    <t>Office</t>
  </si>
  <si>
    <t>Therapy Room 1</t>
  </si>
  <si>
    <t>Staff Dining Room</t>
  </si>
  <si>
    <t>Training Hall</t>
  </si>
  <si>
    <t>1. Projects using Centralized Air Conditioning System</t>
  </si>
  <si>
    <t>Equipment Class</t>
  </si>
  <si>
    <t>Minimum CoP</t>
  </si>
  <si>
    <t>Minimum IPLV</t>
  </si>
  <si>
    <t>Test Standard</t>
  </si>
  <si>
    <t>Air Cooled Chiller &lt;530kW (&lt;150 tons)</t>
  </si>
  <si>
    <t>Air Cooled Chiller ≥530 kW (≥150 tons)</t>
  </si>
  <si>
    <t>*Centrifugal Water Cooled Chiller &lt; 530 kW (&lt;150 tons)</t>
  </si>
  <si>
    <t>*Centrifugal Water Cooled Chiller ≥ 530 and &lt; 1050 kW (≥150 and &lt; 300 tons)</t>
  </si>
  <si>
    <t>Reciprocating Compressor, Water Cooled Chiller all sizes</t>
  </si>
  <si>
    <t>Rotary Screw and Scroll Compressor, Water Cooled Chiller &lt;530 kW (&lt;150 tons)</t>
  </si>
  <si>
    <t>Rotary Screw and Scroll Compressor, Water Cooled Chiller ≥530 and &lt; 1050 kW (≥150 and &lt; 300 tons)</t>
  </si>
  <si>
    <t>Rotary Screw and Scroll Compressor, Water Cooled Chiller ≥ 1050 kW ( ≥ 300 tons)</t>
  </si>
  <si>
    <t>2. Projects using packaged Air-conditioning system</t>
  </si>
  <si>
    <t>Cooling Capacity</t>
  </si>
  <si>
    <t>Maximum Power Consumption in Watts</t>
  </si>
  <si>
    <t>Watts</t>
  </si>
  <si>
    <t>Tons of Refrigeration</t>
  </si>
  <si>
    <t>Water Cooled</t>
  </si>
  <si>
    <t>Air Cooled</t>
  </si>
  <si>
    <t>3. Projects using Unitary and Split system</t>
  </si>
  <si>
    <t>Rated Cooling Capacity</t>
  </si>
  <si>
    <t>Maximum Power</t>
  </si>
  <si>
    <t>(kcal/h)</t>
  </si>
  <si>
    <t>kW</t>
  </si>
  <si>
    <t>Consumption (kW)</t>
  </si>
  <si>
    <t>Interior Lighting Power Densities</t>
  </si>
  <si>
    <t>Table 7.1: Interior Lighting Power – Building Area Method</t>
  </si>
  <si>
    <t>Building Area Type</t>
  </si>
  <si>
    <t>LPD (W/m2)</t>
  </si>
  <si>
    <t>Automotive Facility</t>
  </si>
  <si>
    <t>Multifamily Residential</t>
  </si>
  <si>
    <t>Convention Centre</t>
  </si>
  <si>
    <t>Museum</t>
  </si>
  <si>
    <t>Dining :Bar Lounge / Leisure</t>
  </si>
  <si>
    <t>office</t>
  </si>
  <si>
    <t>Dining :Cafeteria / Fast Food</t>
  </si>
  <si>
    <t>Parking garage</t>
  </si>
  <si>
    <t>Dining: Family</t>
  </si>
  <si>
    <t>Performing Arts Theater</t>
  </si>
  <si>
    <t>Dormitory / Hostel</t>
  </si>
  <si>
    <t>Police / Fire Station</t>
  </si>
  <si>
    <t>Gymnasium</t>
  </si>
  <si>
    <t>Post Office / Town Hall</t>
  </si>
  <si>
    <t>Health Care Clinic</t>
  </si>
  <si>
    <t>Religious Building</t>
  </si>
  <si>
    <t>Hospital / Health care</t>
  </si>
  <si>
    <t>Retail / Mall</t>
  </si>
  <si>
    <t>Hotel</t>
  </si>
  <si>
    <t>School / University</t>
  </si>
  <si>
    <t>Library</t>
  </si>
  <si>
    <t>Sports Arena</t>
  </si>
  <si>
    <t>Manufacturing Facility</t>
  </si>
  <si>
    <t>Transportation</t>
  </si>
  <si>
    <t>Motel</t>
  </si>
  <si>
    <t>Ware House</t>
  </si>
  <si>
    <t>Motion Picture Theater</t>
  </si>
  <si>
    <t>Workshop</t>
  </si>
  <si>
    <t>Table 7.2:Interior Lighting Power – Space Function Method</t>
  </si>
  <si>
    <t>Space Function</t>
  </si>
  <si>
    <t>LPW (W / m2)</t>
  </si>
  <si>
    <t>Office Enclosed</t>
  </si>
  <si>
    <t>For Reading Area</t>
  </si>
  <si>
    <t>Office Open Plan</t>
  </si>
  <si>
    <t>Hospital</t>
  </si>
  <si>
    <t>Conference/Meeting/Multi Purpose</t>
  </si>
  <si>
    <t>For Emergency</t>
  </si>
  <si>
    <t>Classroom / Lecture / Training</t>
  </si>
  <si>
    <t>For Recovery</t>
  </si>
  <si>
    <t>Lobby*</t>
  </si>
  <si>
    <t>For Nurse Station</t>
  </si>
  <si>
    <t>• For Hotel</t>
  </si>
  <si>
    <t>For Exam Treatment</t>
  </si>
  <si>
    <t>• For Performing Arts Theater</t>
  </si>
  <si>
    <t>For Pharmacy</t>
  </si>
  <si>
    <t>• For Motion Picture Theater</t>
  </si>
  <si>
    <t>For Patient Room</t>
  </si>
  <si>
    <t>Audience /Seating Area*</t>
  </si>
  <si>
    <t>For Operating Room</t>
  </si>
  <si>
    <t>• For Gymnasium</t>
  </si>
  <si>
    <t>For Nursery</t>
  </si>
  <si>
    <t>• For Convention Center</t>
  </si>
  <si>
    <t>For Medical Supply</t>
  </si>
  <si>
    <t>• For Religious Buildings</t>
  </si>
  <si>
    <t>For Physical Therapy</t>
  </si>
  <si>
    <t>• For Sports Arena</t>
  </si>
  <si>
    <t>For Radilogy</t>
  </si>
  <si>
    <t>• For Performing Arts Theatre</t>
  </si>
  <si>
    <t>For Laundry - Washing</t>
  </si>
  <si>
    <t>Automotive Service Repair</t>
  </si>
  <si>
    <t>• For Transportation</t>
  </si>
  <si>
    <t>Atrium – First Three Floors</t>
  </si>
  <si>
    <t>For Low Bay(&lt;8m Celing)</t>
  </si>
  <si>
    <t>Atrium Each additional floor</t>
  </si>
  <si>
    <t>For High Bay(&lt;8m Celing)</t>
  </si>
  <si>
    <t>Lounge / Recreation*</t>
  </si>
  <si>
    <t>For Detailed Manufacturing</t>
  </si>
  <si>
    <t>• For Hospital</t>
  </si>
  <si>
    <t>For Equipment Room</t>
  </si>
  <si>
    <t>Dining area</t>
  </si>
  <si>
    <t>For Control room</t>
  </si>
  <si>
    <t>Hotel / Motel Guest Room</t>
  </si>
  <si>
    <t>• For Motel</t>
  </si>
  <si>
    <t>Dormitory Living quarters</t>
  </si>
  <si>
    <t>• For Bar Lounge / Leasure Dining</t>
  </si>
  <si>
    <t>• For Family Dining</t>
  </si>
  <si>
    <t>For General Exhibition</t>
  </si>
  <si>
    <t>• Food Preparations</t>
  </si>
  <si>
    <t>For Restorations</t>
  </si>
  <si>
    <t>Lobaratory</t>
  </si>
  <si>
    <t>Bank Office bank Activity Area</t>
  </si>
  <si>
    <t>Rest Rooms</t>
  </si>
  <si>
    <t>Retail</t>
  </si>
  <si>
    <t>Dressing /Lockers /Fitting Room</t>
  </si>
  <si>
    <t>For Sales Area</t>
  </si>
  <si>
    <t>Corridor Transition</t>
  </si>
  <si>
    <t>For mall Concourse</t>
  </si>
  <si>
    <t>• For Manufacturing Facility</t>
  </si>
  <si>
    <t>For ring sports Area</t>
  </si>
  <si>
    <t>Stairs Active</t>
  </si>
  <si>
    <t>For Court Sports Area</t>
  </si>
  <si>
    <t>Active Storage</t>
  </si>
  <si>
    <t>For Indoor Field area</t>
  </si>
  <si>
    <t>• For hospital</t>
  </si>
  <si>
    <t>Inactive Storage</t>
  </si>
  <si>
    <t>For Fine Material Storage</t>
  </si>
  <si>
    <t>• For Museum</t>
  </si>
  <si>
    <t>For Medium bulky Material storage</t>
  </si>
  <si>
    <t>Electrical / Mechanical Facility</t>
  </si>
  <si>
    <t>Parking Garage – Garage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</si>
</sst>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0.0%"/>
  </numFmts>
  <fonts count="16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/>
    <font>
      <b/>
      <color theme="1"/>
      <name val="Arial"/>
    </font>
    <font>
      <b/>
      <sz val="12.0"/>
      <color theme="1"/>
      <name val="Arial"/>
    </font>
    <font>
      <color rgb="FF000000"/>
      <name val="Arial"/>
    </font>
    <font>
      <sz val="11.0"/>
      <color rgb="FF000000"/>
      <name val="Calibri"/>
    </font>
    <font>
      <sz val="12.0"/>
      <color theme="1"/>
      <name val="Calibri"/>
    </font>
    <font>
      <color rgb="FFFF0000"/>
      <name val="Arial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4" fillId="0" fontId="1" numFmtId="0" xfId="0" applyAlignment="1" applyBorder="1" applyFont="1">
      <alignment horizontal="center"/>
    </xf>
    <xf borderId="2" fillId="0" fontId="3" numFmtId="0" xfId="0" applyBorder="1" applyFont="1"/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1" fillId="0" fontId="2" numFmtId="10" xfId="0" applyAlignment="1" applyBorder="1" applyFont="1" applyNumberFormat="1">
      <alignment horizontal="center"/>
    </xf>
    <xf borderId="6" fillId="0" fontId="3" numFmtId="0" xfId="0" applyBorder="1" applyFont="1"/>
    <xf borderId="1" fillId="0" fontId="2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4" fillId="0" fontId="2" numFmtId="10" xfId="0" applyAlignment="1" applyBorder="1" applyFont="1" applyNumberFormat="1">
      <alignment horizontal="center" shrinkToFit="0" vertical="center" wrapText="1"/>
    </xf>
    <xf borderId="0" fillId="0" fontId="2" numFmtId="0" xfId="0" applyFont="1"/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vertical="bottom"/>
    </xf>
    <xf borderId="9" fillId="0" fontId="2" numFmtId="0" xfId="0" applyAlignment="1" applyBorder="1" applyFont="1">
      <alignment shrinkToFit="0" vertical="bottom" wrapText="1"/>
    </xf>
    <xf borderId="9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horizontal="right" readingOrder="0" vertical="bottom"/>
    </xf>
    <xf borderId="8" fillId="0" fontId="2" numFmtId="0" xfId="0" applyAlignment="1" applyBorder="1" applyFont="1">
      <alignment horizontal="right" vertical="top"/>
    </xf>
    <xf borderId="9" fillId="0" fontId="2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7" fillId="0" fontId="7" numFmtId="2" xfId="0" applyAlignment="1" applyBorder="1" applyFont="1" applyNumberFormat="1">
      <alignment horizontal="center" shrinkToFit="0" vertical="bottom" wrapText="0"/>
    </xf>
    <xf borderId="7" fillId="0" fontId="2" numFmtId="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bottom" wrapText="0"/>
    </xf>
    <xf borderId="1" fillId="0" fontId="2" numFmtId="2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bottom" wrapText="0"/>
    </xf>
    <xf borderId="7" fillId="0" fontId="2" numFmtId="2" xfId="0" applyAlignment="1" applyBorder="1" applyFont="1" applyNumberFormat="1">
      <alignment horizontal="center" vertical="center"/>
    </xf>
    <xf borderId="10" fillId="0" fontId="3" numFmtId="0" xfId="0" applyBorder="1" applyFont="1"/>
    <xf borderId="1" fillId="0" fontId="7" numFmtId="2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11" fillId="0" fontId="2" numFmtId="0" xfId="0" applyAlignment="1" applyBorder="1" applyFont="1">
      <alignment vertical="bottom"/>
    </xf>
    <xf borderId="11" fillId="0" fontId="3" numFmtId="0" xfId="0" applyBorder="1" applyFont="1"/>
    <xf borderId="0" fillId="0" fontId="2" numFmtId="0" xfId="0" applyAlignment="1" applyFont="1">
      <alignment vertical="bottom"/>
    </xf>
    <xf borderId="8" fillId="0" fontId="2" numFmtId="0" xfId="0" applyBorder="1" applyFont="1"/>
    <xf borderId="9" fillId="0" fontId="3" numFmtId="0" xfId="0" applyBorder="1" applyFont="1"/>
    <xf borderId="12" fillId="0" fontId="2" numFmtId="0" xfId="0" applyAlignment="1" applyBorder="1" applyFont="1">
      <alignment vertical="bottom"/>
    </xf>
    <xf borderId="0" fillId="0" fontId="5" numFmtId="0" xfId="0" applyAlignment="1" applyFont="1">
      <alignment horizontal="left" vertical="bottom"/>
    </xf>
    <xf borderId="11" fillId="0" fontId="2" numFmtId="0" xfId="0" applyAlignment="1" applyBorder="1" applyFont="1">
      <alignment horizontal="left" vertical="bottom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left"/>
    </xf>
    <xf borderId="9" fillId="0" fontId="2" numFmtId="0" xfId="0" applyBorder="1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vertical="bottom"/>
    </xf>
    <xf borderId="12" fillId="0" fontId="4" numFmtId="0" xfId="0" applyAlignment="1" applyBorder="1" applyFont="1">
      <alignment horizontal="center" vertical="bottom"/>
    </xf>
    <xf borderId="11" fillId="0" fontId="2" numFmtId="0" xfId="0" applyBorder="1" applyFont="1"/>
    <xf borderId="8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center" shrinkToFit="0" vertical="bottom" wrapText="1"/>
    </xf>
    <xf borderId="9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shrinkToFit="0" vertical="bottom" wrapText="1"/>
    </xf>
    <xf borderId="4" fillId="0" fontId="2" numFmtId="10" xfId="0" applyAlignment="1" applyBorder="1" applyFont="1" applyNumberFormat="1">
      <alignment horizontal="right" vertical="bottom"/>
    </xf>
    <xf borderId="0" fillId="0" fontId="8" numFmtId="0" xfId="0" applyAlignment="1" applyFont="1">
      <alignment shrinkToFit="0" wrapText="1"/>
    </xf>
    <xf borderId="0" fillId="0" fontId="6" numFmtId="3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3" fontId="10" numFmtId="0" xfId="0" applyAlignment="1" applyFill="1" applyFont="1">
      <alignment horizontal="left"/>
    </xf>
    <xf borderId="0" fillId="0" fontId="11" numFmtId="0" xfId="0" applyFont="1"/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0" fillId="0" fontId="4" numFmtId="0" xfId="0" applyFont="1"/>
    <xf borderId="7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center"/>
    </xf>
    <xf borderId="9" fillId="0" fontId="4" numFmtId="0" xfId="0" applyAlignment="1" applyBorder="1" applyFont="1">
      <alignment horizontal="center" shrinkToFit="0" vertical="bottom" wrapText="1"/>
    </xf>
    <xf borderId="8" fillId="3" fontId="8" numFmtId="0" xfId="0" applyAlignment="1" applyBorder="1" applyFont="1">
      <alignment vertical="bottom"/>
    </xf>
    <xf borderId="9" fillId="3" fontId="8" numFmtId="3" xfId="0" applyAlignment="1" applyBorder="1" applyFont="1" applyNumberFormat="1">
      <alignment horizontal="center" vertical="bottom"/>
    </xf>
    <xf borderId="9" fillId="3" fontId="8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9" fillId="0" fontId="8" numFmtId="3" xfId="0" applyAlignment="1" applyBorder="1" applyFont="1" applyNumberFormat="1">
      <alignment horizontal="center" vertical="bottom"/>
    </xf>
    <xf borderId="9" fillId="0" fontId="2" numFmtId="3" xfId="0" applyAlignment="1" applyBorder="1" applyFont="1" applyNumberFormat="1">
      <alignment horizontal="center" shrinkToFit="0" vertical="bottom" wrapText="1"/>
    </xf>
    <xf borderId="1" fillId="3" fontId="12" numFmtId="0" xfId="0" applyBorder="1" applyFont="1"/>
    <xf borderId="1" fillId="0" fontId="12" numFmtId="0" xfId="0" applyBorder="1" applyFont="1"/>
    <xf borderId="1" fillId="4" fontId="10" numFmtId="0" xfId="0" applyBorder="1" applyFill="1" applyFont="1"/>
    <xf borderId="1" fillId="4" fontId="12" numFmtId="0" xfId="0" applyBorder="1" applyFont="1"/>
    <xf borderId="0" fillId="0" fontId="8" numFmtId="0" xfId="0" applyFont="1"/>
    <xf borderId="0" fillId="0" fontId="13" numFmtId="10" xfId="0" applyAlignment="1" applyFont="1" applyNumberFormat="1">
      <alignment horizontal="right" vertical="bottom"/>
    </xf>
    <xf borderId="4" fillId="0" fontId="2" numFmtId="0" xfId="0" applyAlignment="1" applyBorder="1" applyFont="1">
      <alignment horizontal="center" shrinkToFit="0" vertical="bottom" wrapText="1"/>
    </xf>
    <xf borderId="8" fillId="0" fontId="2" numFmtId="0" xfId="0" applyAlignment="1" applyBorder="1" applyFont="1">
      <alignment horizontal="center" shrinkToFit="0" vertical="bottom" wrapText="1"/>
    </xf>
    <xf borderId="9" fillId="0" fontId="2" numFmtId="9" xfId="0" applyAlignment="1" applyBorder="1" applyFont="1" applyNumberFormat="1">
      <alignment horizontal="right" vertical="bottom"/>
    </xf>
    <xf borderId="9" fillId="5" fontId="2" numFmtId="0" xfId="0" applyAlignment="1" applyBorder="1" applyFill="1" applyFont="1">
      <alignment horizontal="right" readingOrder="0" vertical="bottom"/>
    </xf>
    <xf borderId="9" fillId="5" fontId="2" numFmtId="0" xfId="0" applyAlignment="1" applyBorder="1" applyFont="1">
      <alignment horizontal="center" shrinkToFit="0" vertical="bottom" wrapText="1"/>
    </xf>
    <xf borderId="9" fillId="0" fontId="2" numFmtId="165" xfId="0" applyAlignment="1" applyBorder="1" applyFont="1" applyNumberFormat="1">
      <alignment horizontal="right" vertical="bottom"/>
    </xf>
    <xf borderId="9" fillId="0" fontId="2" numFmtId="0" xfId="0" applyAlignment="1" applyBorder="1" applyFont="1">
      <alignment horizontal="center" readingOrder="0" shrinkToFit="0" vertical="bottom" wrapText="1"/>
    </xf>
    <xf borderId="9" fillId="5" fontId="2" numFmtId="0" xfId="0" applyAlignment="1" applyBorder="1" applyFont="1">
      <alignment horizontal="center" readingOrder="0" shrinkToFit="0" vertical="bottom" wrapText="1"/>
    </xf>
    <xf borderId="8" fillId="0" fontId="2" numFmtId="0" xfId="0" applyAlignment="1" applyBorder="1" applyFont="1">
      <alignment vertical="bottom"/>
    </xf>
    <xf borderId="9" fillId="0" fontId="2" numFmtId="2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vertical="bottom"/>
    </xf>
    <xf borderId="4" fillId="0" fontId="8" numFmtId="0" xfId="0" applyBorder="1" applyFont="1"/>
    <xf borderId="1" fillId="0" fontId="6" numFmtId="3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shrinkToFit="0" wrapText="1"/>
    </xf>
    <xf borderId="4" fillId="0" fontId="2" numFmtId="0" xfId="0" applyAlignment="1" applyBorder="1" applyFont="1">
      <alignment vertical="bottom"/>
    </xf>
    <xf borderId="1" fillId="0" fontId="2" numFmtId="9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0" fillId="0" fontId="9" numFmtId="0" xfId="0" applyFont="1"/>
    <xf borderId="11" fillId="0" fontId="9" numFmtId="0" xfId="0" applyBorder="1" applyFont="1"/>
    <xf borderId="11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bottom" wrapText="1"/>
    </xf>
    <xf borderId="11" fillId="0" fontId="2" numFmtId="0" xfId="0" applyAlignment="1" applyBorder="1" applyFont="1">
      <alignment horizontal="center" shrinkToFit="0" vertical="bottom" wrapText="1"/>
    </xf>
    <xf borderId="9" fillId="0" fontId="2" numFmtId="9" xfId="0" applyAlignment="1" applyBorder="1" applyFont="1" applyNumberFormat="1">
      <alignment horizontal="center" shrinkToFit="0" vertical="bottom" wrapText="1"/>
    </xf>
    <xf borderId="11" fillId="0" fontId="2" numFmtId="10" xfId="0" applyAlignment="1" applyBorder="1" applyFont="1" applyNumberForma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8" fillId="0" fontId="4" numFmtId="0" xfId="0" applyAlignment="1" applyBorder="1" applyFont="1">
      <alignment horizontal="center" shrinkToFit="0" vertical="bottom" wrapText="1"/>
    </xf>
    <xf borderId="9" fillId="3" fontId="2" numFmtId="0" xfId="0" applyAlignment="1" applyBorder="1" applyFont="1">
      <alignment horizontal="center" shrinkToFit="0" vertical="bottom" wrapText="1"/>
    </xf>
    <xf borderId="10" fillId="0" fontId="2" numFmtId="0" xfId="0" applyAlignment="1" applyBorder="1" applyFont="1">
      <alignment horizontal="center" shrinkToFit="0" wrapText="1"/>
    </xf>
    <xf borderId="9" fillId="0" fontId="2" numFmtId="1" xfId="0" applyAlignment="1" applyBorder="1" applyFont="1" applyNumberFormat="1">
      <alignment horizontal="center" shrinkToFit="0" vertical="bottom" wrapText="1"/>
    </xf>
    <xf borderId="9" fillId="3" fontId="2" numFmtId="10" xfId="0" applyAlignment="1" applyBorder="1" applyFont="1" applyNumberFormat="1">
      <alignment horizontal="center" shrinkToFit="0" vertical="bottom" wrapText="1"/>
    </xf>
    <xf borderId="9" fillId="0" fontId="2" numFmtId="1" xfId="0" applyAlignment="1" applyBorder="1" applyFont="1" applyNumberFormat="1">
      <alignment vertical="bottom"/>
    </xf>
    <xf borderId="12" fillId="0" fontId="2" numFmtId="0" xfId="0" applyAlignment="1" applyBorder="1" applyFont="1">
      <alignment horizontal="center" shrinkToFit="0" vertical="bottom" wrapText="1"/>
    </xf>
    <xf borderId="9" fillId="0" fontId="2" numFmtId="10" xfId="0" applyAlignment="1" applyBorder="1" applyFont="1" applyNumberFormat="1">
      <alignment horizontal="center" shrinkToFit="0" vertical="bottom" wrapText="1"/>
    </xf>
    <xf borderId="4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shrinkToFit="0" wrapText="1"/>
    </xf>
    <xf borderId="2" fillId="0" fontId="14" numFmtId="0" xfId="0" applyAlignment="1" applyBorder="1" applyFont="1">
      <alignment horizontal="center" shrinkToFit="0" wrapText="1"/>
    </xf>
    <xf borderId="2" fillId="0" fontId="14" numFmtId="0" xfId="0" applyAlignment="1" applyBorder="1" applyFont="1">
      <alignment horizontal="center" shrinkToFit="0" wrapText="1"/>
    </xf>
    <xf borderId="8" fillId="0" fontId="15" numFmtId="0" xfId="0" applyAlignment="1" applyBorder="1" applyFont="1">
      <alignment horizontal="center" vertical="bottom"/>
    </xf>
    <xf borderId="9" fillId="0" fontId="15" numFmtId="0" xfId="0" applyAlignment="1" applyBorder="1" applyFont="1">
      <alignment vertical="bottom"/>
    </xf>
    <xf borderId="9" fillId="0" fontId="15" numFmtId="0" xfId="0" applyAlignment="1" applyBorder="1" applyFont="1">
      <alignment horizontal="center" vertical="bottom"/>
    </xf>
    <xf borderId="9" fillId="0" fontId="14" numFmtId="1" xfId="0" applyAlignment="1" applyBorder="1" applyFont="1" applyNumberFormat="1">
      <alignment horizontal="center" vertical="bottom"/>
    </xf>
    <xf borderId="9" fillId="0" fontId="14" numFmtId="0" xfId="0" applyAlignment="1" applyBorder="1" applyFont="1">
      <alignment horizontal="center" vertical="bottom"/>
    </xf>
    <xf borderId="8" fillId="0" fontId="15" numFmtId="0" xfId="0" applyAlignment="1" applyBorder="1" applyFont="1">
      <alignment vertical="bottom"/>
    </xf>
    <xf borderId="9" fillId="0" fontId="15" numFmtId="0" xfId="0" applyAlignment="1" applyBorder="1" applyFont="1">
      <alignment vertical="bottom"/>
    </xf>
    <xf borderId="9" fillId="0" fontId="15" numFmtId="0" xfId="0" applyAlignment="1" applyBorder="1" applyFont="1">
      <alignment horizontal="center" vertical="bottom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3" fillId="0" fontId="2" numFmtId="0" xfId="0" applyAlignment="1" applyBorder="1" applyFont="1">
      <alignment horizontal="center"/>
    </xf>
    <xf borderId="4" fillId="0" fontId="2" numFmtId="2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vertical="bottom"/>
    </xf>
    <xf borderId="12" fillId="0" fontId="2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6" width="12.63"/>
  </cols>
  <sheetData>
    <row r="1" ht="15.75" customHeight="1">
      <c r="A1" s="1" t="s">
        <v>0</v>
      </c>
      <c r="B1" s="1" t="s">
        <v>1</v>
      </c>
      <c r="C1" s="2"/>
    </row>
    <row r="2" ht="15.75" customHeight="1">
      <c r="A2" s="3" t="s">
        <v>2</v>
      </c>
      <c r="B2" s="4">
        <v>2331.0</v>
      </c>
    </row>
    <row r="3" ht="15.75" customHeight="1">
      <c r="A3" s="3" t="s">
        <v>3</v>
      </c>
      <c r="B3" s="5">
        <v>2082.0</v>
      </c>
    </row>
    <row r="4" ht="15.75" customHeight="1">
      <c r="A4" s="6" t="s">
        <v>4</v>
      </c>
      <c r="B4" s="7">
        <v>1639.0</v>
      </c>
    </row>
    <row r="5" ht="15.75" customHeight="1">
      <c r="A5" s="6" t="s">
        <v>5</v>
      </c>
      <c r="B5" s="7">
        <v>443.0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30.25"/>
    <col customWidth="1" min="3" max="6" width="12.63"/>
  </cols>
  <sheetData>
    <row r="1" ht="15.75" customHeight="1">
      <c r="A1" s="8" t="s">
        <v>6</v>
      </c>
      <c r="B1" s="9"/>
    </row>
    <row r="2" ht="15.75" customHeight="1">
      <c r="A2" s="10" t="s">
        <v>7</v>
      </c>
      <c r="B2" s="10" t="s">
        <v>8</v>
      </c>
    </row>
    <row r="3" ht="15.75" customHeight="1">
      <c r="A3" s="11" t="s">
        <v>9</v>
      </c>
      <c r="B3" s="12">
        <v>2082.0</v>
      </c>
    </row>
    <row r="4" ht="15.75" customHeight="1">
      <c r="A4" s="3" t="s">
        <v>10</v>
      </c>
      <c r="B4" s="3">
        <v>343.0</v>
      </c>
    </row>
    <row r="5" ht="15.75" customHeight="1">
      <c r="A5" s="3" t="s">
        <v>11</v>
      </c>
      <c r="B5" s="3">
        <v>350.0</v>
      </c>
    </row>
    <row r="6" ht="15.75" customHeight="1">
      <c r="A6" s="3" t="s">
        <v>12</v>
      </c>
      <c r="B6" s="3">
        <v>97.0</v>
      </c>
    </row>
    <row r="7" ht="15.75" customHeight="1">
      <c r="A7" s="3" t="s">
        <v>13</v>
      </c>
      <c r="B7" s="3">
        <f>B3-B4-B5-B6</f>
        <v>1292</v>
      </c>
    </row>
    <row r="8" ht="15.75" customHeight="1">
      <c r="A8" s="3" t="s">
        <v>14</v>
      </c>
      <c r="B8" s="13">
        <f>B7/B3</f>
        <v>0.6205571566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5.38"/>
    <col customWidth="1" min="3" max="3" width="14.38"/>
    <col customWidth="1" min="4" max="6" width="12.63"/>
  </cols>
  <sheetData>
    <row r="1" ht="15.75" customHeight="1">
      <c r="A1" s="8" t="s">
        <v>15</v>
      </c>
      <c r="B1" s="14"/>
      <c r="C1" s="14"/>
      <c r="D1" s="14"/>
      <c r="E1" s="9"/>
    </row>
    <row r="2" ht="15.75" customHeight="1">
      <c r="A2" s="15" t="s">
        <v>16</v>
      </c>
      <c r="B2" s="15" t="s">
        <v>17</v>
      </c>
      <c r="C2" s="6" t="s">
        <v>18</v>
      </c>
      <c r="D2" s="6" t="s">
        <v>19</v>
      </c>
      <c r="E2" s="15" t="s">
        <v>20</v>
      </c>
    </row>
    <row r="3" ht="15.75" customHeight="1">
      <c r="A3" s="15">
        <v>1.0</v>
      </c>
      <c r="B3" s="15" t="s">
        <v>21</v>
      </c>
      <c r="C3" s="15" t="s">
        <v>22</v>
      </c>
      <c r="D3" s="15">
        <v>750.0</v>
      </c>
      <c r="E3" s="15" t="s">
        <v>23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" t="s">
        <v>24</v>
      </c>
      <c r="B1" s="14"/>
      <c r="C1" s="14"/>
      <c r="D1" s="14"/>
      <c r="E1" s="14"/>
      <c r="F1" s="14"/>
      <c r="G1" s="14"/>
      <c r="H1" s="9"/>
    </row>
    <row r="2" ht="15.75" customHeight="1">
      <c r="A2" s="17" t="s">
        <v>25</v>
      </c>
      <c r="B2" s="17" t="s">
        <v>26</v>
      </c>
      <c r="C2" s="17" t="s">
        <v>27</v>
      </c>
      <c r="D2" s="17" t="s">
        <v>28</v>
      </c>
      <c r="E2" s="18" t="s">
        <v>29</v>
      </c>
      <c r="F2" s="9"/>
      <c r="G2" s="18" t="s">
        <v>30</v>
      </c>
      <c r="H2" s="9"/>
    </row>
    <row r="3" ht="15.75" customHeight="1">
      <c r="A3" s="19"/>
      <c r="B3" s="19"/>
      <c r="C3" s="19"/>
      <c r="D3" s="19"/>
      <c r="E3" s="6" t="s">
        <v>31</v>
      </c>
      <c r="F3" s="6" t="s">
        <v>32</v>
      </c>
      <c r="G3" s="6" t="s">
        <v>33</v>
      </c>
      <c r="H3" s="6" t="s">
        <v>34</v>
      </c>
    </row>
    <row r="4" ht="15.75" customHeight="1">
      <c r="A4" s="17" t="s">
        <v>35</v>
      </c>
      <c r="B4" s="17" t="s">
        <v>36</v>
      </c>
      <c r="C4" s="6" t="s">
        <v>37</v>
      </c>
      <c r="D4" s="20">
        <v>10.0</v>
      </c>
      <c r="E4" s="6">
        <v>6.0</v>
      </c>
      <c r="F4" s="6">
        <f t="shared" ref="F4:F5" si="1">E4*D4</f>
        <v>60</v>
      </c>
      <c r="G4" s="6">
        <v>4.0</v>
      </c>
      <c r="H4" s="6">
        <f t="shared" ref="H4:H5" si="2">G4*D4</f>
        <v>40</v>
      </c>
    </row>
    <row r="5" ht="15.75" customHeight="1">
      <c r="A5" s="19"/>
      <c r="B5" s="19"/>
      <c r="C5" s="6" t="s">
        <v>38</v>
      </c>
      <c r="D5" s="20">
        <v>10.0</v>
      </c>
      <c r="E5" s="6">
        <v>6.0</v>
      </c>
      <c r="F5" s="6">
        <f t="shared" si="1"/>
        <v>60</v>
      </c>
      <c r="G5" s="6">
        <v>4.0</v>
      </c>
      <c r="H5" s="6">
        <f t="shared" si="2"/>
        <v>40</v>
      </c>
    </row>
    <row r="6" ht="15.75" customHeight="1">
      <c r="A6" s="6" t="s">
        <v>39</v>
      </c>
      <c r="B6" s="6" t="s">
        <v>36</v>
      </c>
      <c r="C6" s="6" t="s">
        <v>40</v>
      </c>
      <c r="D6" s="20">
        <v>6.0</v>
      </c>
      <c r="E6" s="6">
        <v>3.0</v>
      </c>
      <c r="F6" s="6">
        <f t="shared" ref="F6:F7" si="3">E6*D6*2</f>
        <v>36</v>
      </c>
      <c r="G6" s="6">
        <v>2.0</v>
      </c>
      <c r="H6" s="6">
        <f t="shared" ref="H6:H7" si="4">G6*D6*2</f>
        <v>24</v>
      </c>
    </row>
    <row r="7" ht="15.75" customHeight="1">
      <c r="A7" s="6" t="s">
        <v>41</v>
      </c>
      <c r="B7" s="6" t="s">
        <v>36</v>
      </c>
      <c r="C7" s="6" t="s">
        <v>42</v>
      </c>
      <c r="D7" s="20">
        <v>10.0</v>
      </c>
      <c r="E7" s="6">
        <v>4.0</v>
      </c>
      <c r="F7" s="6">
        <f t="shared" si="3"/>
        <v>80</v>
      </c>
      <c r="G7" s="6">
        <v>2.0</v>
      </c>
      <c r="H7" s="6">
        <f t="shared" si="4"/>
        <v>40</v>
      </c>
    </row>
    <row r="8" ht="15.75" customHeight="1">
      <c r="A8" s="6" t="s">
        <v>43</v>
      </c>
      <c r="B8" s="6">
        <f>15/60</f>
        <v>0.25</v>
      </c>
      <c r="C8" s="21">
        <v>2.0</v>
      </c>
      <c r="D8" s="22">
        <v>74.0</v>
      </c>
      <c r="E8" s="21">
        <v>6.0</v>
      </c>
      <c r="F8" s="6">
        <f>E8*D8*C8*B8</f>
        <v>222</v>
      </c>
      <c r="G8" s="6">
        <v>4.0</v>
      </c>
      <c r="H8" s="6">
        <f>G8*D8*C8*B8</f>
        <v>148</v>
      </c>
    </row>
    <row r="9" ht="15.75" customHeight="1">
      <c r="A9" s="21"/>
      <c r="B9" s="21"/>
      <c r="C9" s="21"/>
      <c r="D9" s="20"/>
      <c r="E9" s="21"/>
      <c r="F9" s="6"/>
      <c r="G9" s="21"/>
      <c r="H9" s="6"/>
    </row>
    <row r="10" ht="15.75" customHeight="1">
      <c r="A10" s="21"/>
      <c r="B10" s="21"/>
      <c r="C10" s="21"/>
      <c r="D10" s="20"/>
      <c r="E10" s="21"/>
      <c r="F10" s="6"/>
      <c r="G10" s="21"/>
      <c r="H10" s="6"/>
    </row>
    <row r="11" ht="15.75" customHeight="1">
      <c r="A11" s="21"/>
      <c r="B11" s="21"/>
      <c r="C11" s="21"/>
      <c r="D11" s="21"/>
      <c r="E11" s="21"/>
      <c r="F11" s="6"/>
      <c r="G11" s="21"/>
      <c r="H11" s="6"/>
    </row>
    <row r="12" ht="15.75" customHeight="1">
      <c r="A12" s="21"/>
      <c r="B12" s="21"/>
      <c r="C12" s="21"/>
      <c r="D12" s="21"/>
      <c r="E12" s="21"/>
      <c r="F12" s="6"/>
      <c r="G12" s="21"/>
      <c r="H12" s="6"/>
    </row>
    <row r="13" ht="15.75" customHeight="1">
      <c r="A13" s="18" t="s">
        <v>44</v>
      </c>
      <c r="B13" s="14"/>
      <c r="C13" s="14"/>
      <c r="D13" s="9"/>
      <c r="E13" s="6" t="s">
        <v>45</v>
      </c>
      <c r="F13" s="6">
        <f>SUM(F4:F7)</f>
        <v>236</v>
      </c>
      <c r="G13" s="6"/>
      <c r="H13" s="6">
        <f>SUM(H4:H7)</f>
        <v>144</v>
      </c>
    </row>
    <row r="14" ht="15.75" customHeight="1">
      <c r="A14" s="18" t="s">
        <v>46</v>
      </c>
      <c r="B14" s="14"/>
      <c r="C14" s="14"/>
      <c r="D14" s="9"/>
      <c r="E14" s="6" t="s">
        <v>45</v>
      </c>
      <c r="F14" s="6">
        <f>sum(F8:F10)</f>
        <v>222</v>
      </c>
      <c r="G14" s="6"/>
      <c r="H14" s="6">
        <f>sum(H8:H10)</f>
        <v>148</v>
      </c>
    </row>
    <row r="15" ht="15.75" customHeight="1">
      <c r="A15" s="18" t="s">
        <v>47</v>
      </c>
      <c r="B15" s="14"/>
      <c r="C15" s="14"/>
      <c r="D15" s="9"/>
      <c r="E15" s="6" t="s">
        <v>45</v>
      </c>
      <c r="F15" s="6">
        <f>SUM(F4:F14)</f>
        <v>916</v>
      </c>
      <c r="G15" s="6"/>
      <c r="H15" s="6">
        <f>SUM(H4:H14)</f>
        <v>584</v>
      </c>
    </row>
    <row r="16" ht="15.75" customHeight="1">
      <c r="A16" s="18" t="s">
        <v>48</v>
      </c>
      <c r="B16" s="14"/>
      <c r="C16" s="14"/>
      <c r="D16" s="14"/>
      <c r="E16" s="14"/>
      <c r="F16" s="9"/>
      <c r="G16" s="23">
        <f>(F15-H15)/F15</f>
        <v>0.3624454148</v>
      </c>
      <c r="H16" s="9"/>
    </row>
    <row r="17" ht="15.75" customHeight="1"/>
    <row r="18" ht="15.75" customHeight="1"/>
    <row r="19" ht="15.75" customHeight="1">
      <c r="E19" s="24" t="s">
        <v>49</v>
      </c>
    </row>
    <row r="20" ht="15.75" customHeight="1">
      <c r="E20" s="24" t="s">
        <v>50</v>
      </c>
      <c r="F20" s="24">
        <v>12.0</v>
      </c>
    </row>
    <row r="21" ht="15.75" customHeight="1">
      <c r="E21" s="24" t="s">
        <v>51</v>
      </c>
      <c r="F21" s="24">
        <v>62.0</v>
      </c>
      <c r="G21" s="24"/>
    </row>
    <row r="22" ht="15.75" customHeight="1">
      <c r="F22" s="24">
        <f>((F21*1)+(F20*8))/8</f>
        <v>19.75</v>
      </c>
    </row>
    <row r="23" ht="15.75" customHeight="1"/>
    <row r="24" ht="15.75" customHeight="1">
      <c r="C24" s="24" t="s">
        <v>52</v>
      </c>
    </row>
    <row r="25" ht="15.75" customHeight="1"/>
    <row r="26" ht="15.75" customHeight="1">
      <c r="A26" s="25" t="s">
        <v>53</v>
      </c>
      <c r="B26" s="26" t="s">
        <v>54</v>
      </c>
      <c r="C26" s="26" t="s">
        <v>55</v>
      </c>
      <c r="D26" s="26" t="s">
        <v>56</v>
      </c>
      <c r="E26" s="26" t="s">
        <v>57</v>
      </c>
      <c r="F26" s="26" t="s">
        <v>58</v>
      </c>
      <c r="G26" s="26" t="s">
        <v>59</v>
      </c>
      <c r="H26" s="26" t="s">
        <v>60</v>
      </c>
      <c r="I26" s="26" t="s">
        <v>61</v>
      </c>
    </row>
    <row r="27" ht="15.75" customHeight="1">
      <c r="A27" s="27">
        <v>1.0</v>
      </c>
      <c r="B27" s="28"/>
      <c r="C27" s="29" t="s">
        <v>43</v>
      </c>
      <c r="D27" s="30">
        <v>2.0</v>
      </c>
      <c r="E27" s="28"/>
      <c r="F27" s="28"/>
      <c r="G27" s="28"/>
      <c r="H27" s="28"/>
      <c r="I27" s="28"/>
    </row>
    <row r="28" ht="15.75" customHeight="1">
      <c r="A28" s="27">
        <v>2.0</v>
      </c>
      <c r="B28" s="28"/>
      <c r="C28" s="28" t="s">
        <v>41</v>
      </c>
      <c r="D28" s="30">
        <v>2.0</v>
      </c>
      <c r="E28" s="28"/>
      <c r="F28" s="28"/>
      <c r="G28" s="28"/>
      <c r="H28" s="28"/>
      <c r="I28" s="28"/>
    </row>
    <row r="29" ht="15.75" customHeight="1">
      <c r="A29" s="27">
        <v>3.0</v>
      </c>
      <c r="B29" s="28"/>
      <c r="C29" s="28" t="s">
        <v>62</v>
      </c>
      <c r="D29" s="31">
        <v>6.0</v>
      </c>
      <c r="E29" s="28"/>
      <c r="F29" s="28"/>
      <c r="G29" s="28"/>
      <c r="H29" s="28"/>
      <c r="I29" s="28"/>
    </row>
    <row r="30" ht="15.75" customHeight="1">
      <c r="A30" s="32">
        <v>4.0</v>
      </c>
      <c r="B30" s="28"/>
      <c r="C30" s="28" t="s">
        <v>63</v>
      </c>
      <c r="D30" s="33">
        <v>45384.0</v>
      </c>
      <c r="E30" s="28"/>
      <c r="F30" s="28"/>
      <c r="G30" s="28"/>
      <c r="H30" s="28"/>
      <c r="I30" s="28"/>
    </row>
    <row r="31" ht="15.75" customHeight="1">
      <c r="C31" s="24"/>
      <c r="D31" s="2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4">
    <mergeCell ref="A4:A5"/>
    <mergeCell ref="B4:B5"/>
    <mergeCell ref="A13:D13"/>
    <mergeCell ref="A14:D14"/>
    <mergeCell ref="A15:D15"/>
    <mergeCell ref="A16:F16"/>
    <mergeCell ref="G16:H16"/>
    <mergeCell ref="A1:H1"/>
    <mergeCell ref="A2:A3"/>
    <mergeCell ref="B2:B3"/>
    <mergeCell ref="C2:C3"/>
    <mergeCell ref="D2:D3"/>
    <mergeCell ref="E2:F2"/>
    <mergeCell ref="G2:H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4.88"/>
    <col customWidth="1" min="3" max="6" width="12.63"/>
  </cols>
  <sheetData>
    <row r="1" ht="27.75" customHeight="1">
      <c r="A1" s="34" t="s">
        <v>64</v>
      </c>
      <c r="B1" s="9"/>
    </row>
    <row r="2" ht="21.0" customHeight="1">
      <c r="A2" s="6" t="s">
        <v>7</v>
      </c>
      <c r="B2" s="6" t="s">
        <v>8</v>
      </c>
    </row>
    <row r="3" ht="21.0" customHeight="1">
      <c r="A3" s="6" t="s">
        <v>3</v>
      </c>
      <c r="B3" s="6">
        <f>1102+980</f>
        <v>2082</v>
      </c>
    </row>
    <row r="4" ht="15.75" customHeight="1">
      <c r="A4" s="6" t="s">
        <v>65</v>
      </c>
      <c r="B4" s="6">
        <f>872+767</f>
        <v>1639</v>
      </c>
    </row>
    <row r="5" ht="15.75" customHeight="1">
      <c r="A5" s="6" t="s">
        <v>66</v>
      </c>
      <c r="B5" s="6">
        <f>165+170</f>
        <v>335</v>
      </c>
    </row>
    <row r="6" ht="15.75" customHeight="1">
      <c r="A6" s="6" t="s">
        <v>67</v>
      </c>
      <c r="B6" s="6">
        <f>175+664+33+633+95</f>
        <v>1600</v>
      </c>
    </row>
    <row r="7" ht="29.25" customHeight="1">
      <c r="A7" s="6" t="s">
        <v>68</v>
      </c>
      <c r="B7" s="35">
        <f>1600/2082*100</f>
        <v>76.84918348</v>
      </c>
    </row>
    <row r="8" ht="15.75" customHeight="1"/>
    <row r="9" ht="15.75" customHeight="1"/>
    <row r="10" ht="15.75" customHeight="1">
      <c r="A10" s="34" t="s">
        <v>69</v>
      </c>
      <c r="B10" s="14"/>
      <c r="C10" s="14"/>
      <c r="D10" s="14"/>
      <c r="E10" s="14"/>
      <c r="F10" s="14"/>
      <c r="G10" s="14"/>
      <c r="H10" s="9"/>
    </row>
    <row r="11" ht="15.75" customHeight="1">
      <c r="A11" s="6" t="s">
        <v>70</v>
      </c>
      <c r="B11" s="6" t="s">
        <v>71</v>
      </c>
      <c r="C11" s="6" t="s">
        <v>72</v>
      </c>
      <c r="D11" s="6" t="s">
        <v>73</v>
      </c>
      <c r="E11" s="6" t="s">
        <v>74</v>
      </c>
      <c r="F11" s="6" t="s">
        <v>75</v>
      </c>
      <c r="G11" s="6" t="s">
        <v>76</v>
      </c>
      <c r="H11" s="6" t="s">
        <v>77</v>
      </c>
    </row>
    <row r="12" ht="15.75" customHeight="1">
      <c r="A12" s="6" t="s">
        <v>78</v>
      </c>
      <c r="B12" s="6" t="s">
        <v>79</v>
      </c>
      <c r="C12" s="6">
        <v>30.0</v>
      </c>
      <c r="D12" s="6">
        <v>15.0</v>
      </c>
      <c r="E12" s="6">
        <f t="shared" ref="E12:E21" si="1">C12*D12</f>
        <v>450</v>
      </c>
      <c r="F12" s="6">
        <v>10.8</v>
      </c>
      <c r="G12" s="36">
        <f>790/10.76</f>
        <v>73.42007435</v>
      </c>
      <c r="H12" s="37">
        <f>(E12+E13)/G12</f>
        <v>8.286562025</v>
      </c>
    </row>
    <row r="13" ht="15.75" customHeight="1">
      <c r="A13" s="6"/>
      <c r="B13" s="38" t="s">
        <v>80</v>
      </c>
      <c r="C13" s="6">
        <v>13.2</v>
      </c>
      <c r="D13" s="6">
        <v>12.0</v>
      </c>
      <c r="E13" s="6">
        <f t="shared" si="1"/>
        <v>158.4</v>
      </c>
      <c r="F13" s="6">
        <v>10.8</v>
      </c>
      <c r="G13" s="19"/>
      <c r="H13" s="19"/>
    </row>
    <row r="14" ht="15.75" customHeight="1">
      <c r="A14" s="6" t="s">
        <v>81</v>
      </c>
      <c r="B14" s="38" t="s">
        <v>82</v>
      </c>
      <c r="C14" s="6">
        <v>14.8</v>
      </c>
      <c r="D14" s="6">
        <v>14.0</v>
      </c>
      <c r="E14" s="6">
        <f t="shared" si="1"/>
        <v>207.2</v>
      </c>
      <c r="F14" s="6">
        <v>10.8</v>
      </c>
      <c r="G14" s="39">
        <v>16.2639405204461</v>
      </c>
      <c r="H14" s="40">
        <f t="shared" ref="H14:H16" si="2">E14/G14</f>
        <v>12.73984</v>
      </c>
    </row>
    <row r="15" ht="15.75" customHeight="1">
      <c r="A15" s="6" t="s">
        <v>83</v>
      </c>
      <c r="B15" s="38" t="s">
        <v>84</v>
      </c>
      <c r="C15" s="6">
        <v>25.9</v>
      </c>
      <c r="D15" s="6">
        <v>3.0</v>
      </c>
      <c r="E15" s="6">
        <f t="shared" si="1"/>
        <v>77.7</v>
      </c>
      <c r="F15" s="6">
        <v>10.8</v>
      </c>
      <c r="G15" s="39">
        <v>6.691449814126394</v>
      </c>
      <c r="H15" s="40">
        <f t="shared" si="2"/>
        <v>11.61183333</v>
      </c>
    </row>
    <row r="16" ht="15.75" customHeight="1">
      <c r="A16" s="6" t="s">
        <v>85</v>
      </c>
      <c r="B16" s="41" t="s">
        <v>86</v>
      </c>
      <c r="C16" s="38">
        <v>13.2</v>
      </c>
      <c r="D16" s="6">
        <v>5.0</v>
      </c>
      <c r="E16" s="6">
        <f t="shared" si="1"/>
        <v>66</v>
      </c>
      <c r="F16" s="6">
        <v>10.8</v>
      </c>
      <c r="G16" s="39">
        <v>13.940520446096654</v>
      </c>
      <c r="H16" s="40">
        <f t="shared" si="2"/>
        <v>4.7344</v>
      </c>
    </row>
    <row r="17" ht="15.75" customHeight="1">
      <c r="A17" s="6" t="s">
        <v>87</v>
      </c>
      <c r="B17" s="38" t="s">
        <v>82</v>
      </c>
      <c r="C17" s="6">
        <v>14.8</v>
      </c>
      <c r="D17" s="6">
        <v>44.0</v>
      </c>
      <c r="E17" s="6">
        <f t="shared" si="1"/>
        <v>651.2</v>
      </c>
      <c r="F17" s="6">
        <v>10.8</v>
      </c>
      <c r="G17" s="42">
        <v>55.29739776951673</v>
      </c>
      <c r="H17" s="37">
        <f>(E17+E18+E19)/G17</f>
        <v>15.36419496</v>
      </c>
    </row>
    <row r="18" ht="15.75" customHeight="1">
      <c r="A18" s="41"/>
      <c r="B18" s="38" t="s">
        <v>88</v>
      </c>
      <c r="C18" s="6">
        <v>14.0</v>
      </c>
      <c r="D18" s="6">
        <v>8.0</v>
      </c>
      <c r="E18" s="6">
        <f t="shared" si="1"/>
        <v>112</v>
      </c>
      <c r="F18" s="6">
        <v>10.8</v>
      </c>
      <c r="G18" s="43"/>
      <c r="H18" s="43"/>
    </row>
    <row r="19" ht="15.75" customHeight="1">
      <c r="A19" s="6"/>
      <c r="B19" s="38" t="s">
        <v>89</v>
      </c>
      <c r="C19" s="6">
        <v>10.8</v>
      </c>
      <c r="D19" s="6">
        <v>8.0</v>
      </c>
      <c r="E19" s="6">
        <f t="shared" si="1"/>
        <v>86.4</v>
      </c>
      <c r="F19" s="6">
        <v>10.8</v>
      </c>
      <c r="G19" s="19"/>
      <c r="H19" s="19"/>
    </row>
    <row r="20" ht="15.75" customHeight="1">
      <c r="A20" s="6" t="s">
        <v>83</v>
      </c>
      <c r="B20" s="38" t="s">
        <v>84</v>
      </c>
      <c r="C20" s="6">
        <v>25.9</v>
      </c>
      <c r="D20" s="6">
        <v>3.0</v>
      </c>
      <c r="E20" s="6">
        <f t="shared" si="1"/>
        <v>77.7</v>
      </c>
      <c r="F20" s="6">
        <v>10.8</v>
      </c>
      <c r="G20" s="44">
        <v>10.687732342007434</v>
      </c>
      <c r="H20" s="40">
        <f t="shared" ref="H20:H21" si="3">E20/G20</f>
        <v>7.270017391</v>
      </c>
    </row>
    <row r="21" ht="15.75" customHeight="1">
      <c r="A21" s="6" t="s">
        <v>90</v>
      </c>
      <c r="B21" s="38" t="s">
        <v>86</v>
      </c>
      <c r="C21" s="6">
        <v>13.2</v>
      </c>
      <c r="D21" s="6">
        <v>4.0</v>
      </c>
      <c r="E21" s="6">
        <f t="shared" si="1"/>
        <v>52.8</v>
      </c>
      <c r="F21" s="6">
        <v>10.8</v>
      </c>
      <c r="G21" s="44">
        <v>7.156133828996283</v>
      </c>
      <c r="H21" s="40">
        <f t="shared" si="3"/>
        <v>7.378285714</v>
      </c>
    </row>
    <row r="22" ht="15.75" customHeight="1">
      <c r="A22" s="45" t="s">
        <v>91</v>
      </c>
      <c r="B22" s="14"/>
      <c r="C22" s="14"/>
      <c r="D22" s="14"/>
      <c r="E22" s="14"/>
      <c r="F22" s="14"/>
      <c r="G22" s="9"/>
      <c r="H22" s="6">
        <f>Sum(E12:E21)</f>
        <v>1939.4</v>
      </c>
    </row>
    <row r="23" ht="15.75" customHeight="1">
      <c r="A23" s="45" t="s">
        <v>92</v>
      </c>
      <c r="B23" s="14"/>
      <c r="C23" s="14"/>
      <c r="D23" s="14"/>
      <c r="E23" s="14"/>
      <c r="F23" s="14"/>
      <c r="G23" s="9"/>
      <c r="H23" s="6">
        <v>10.8</v>
      </c>
    </row>
    <row r="24" ht="15.75" customHeight="1">
      <c r="A24" s="45" t="s">
        <v>93</v>
      </c>
      <c r="B24" s="14"/>
      <c r="C24" s="14"/>
      <c r="D24" s="14"/>
      <c r="E24" s="14"/>
      <c r="F24" s="14"/>
      <c r="G24" s="9"/>
      <c r="H24" s="40">
        <f>H22/(sum(G12:G21))</f>
        <v>10.5714002</v>
      </c>
    </row>
    <row r="25" ht="15.75" customHeight="1">
      <c r="A25" s="45" t="s">
        <v>94</v>
      </c>
      <c r="B25" s="14"/>
      <c r="C25" s="14"/>
      <c r="D25" s="14"/>
      <c r="E25" s="14"/>
      <c r="F25" s="14"/>
      <c r="G25" s="9"/>
      <c r="H25" s="40">
        <f>(1-H24/H23)*100</f>
        <v>2.11666479</v>
      </c>
    </row>
    <row r="26" ht="15.75" customHeight="1">
      <c r="H26" s="40"/>
    </row>
    <row r="27" ht="15.75" customHeight="1"/>
    <row r="28" ht="15.75" customHeight="1"/>
    <row r="29" ht="15.75" customHeight="1"/>
    <row r="30" ht="15.75" customHeight="1">
      <c r="A30" s="34" t="s">
        <v>95</v>
      </c>
      <c r="B30" s="14"/>
      <c r="C30" s="9"/>
    </row>
    <row r="31" ht="15.75" customHeight="1">
      <c r="A31" s="46" t="s">
        <v>96</v>
      </c>
      <c r="B31" s="46" t="s">
        <v>97</v>
      </c>
      <c r="C31" s="46" t="s">
        <v>98</v>
      </c>
    </row>
    <row r="32" ht="15.75" customHeight="1">
      <c r="A32" s="6" t="s">
        <v>99</v>
      </c>
      <c r="B32" s="47" t="s">
        <v>22</v>
      </c>
      <c r="C32" s="47" t="s">
        <v>22</v>
      </c>
    </row>
    <row r="33" ht="15.75" customHeight="1">
      <c r="A33" s="6" t="s">
        <v>100</v>
      </c>
      <c r="B33" s="47" t="s">
        <v>22</v>
      </c>
      <c r="C33" s="47" t="s">
        <v>22</v>
      </c>
    </row>
    <row r="34" ht="15.75" customHeight="1">
      <c r="A34" s="6" t="s">
        <v>101</v>
      </c>
      <c r="B34" s="47" t="s">
        <v>22</v>
      </c>
      <c r="C34" s="47" t="s">
        <v>22</v>
      </c>
    </row>
    <row r="35" ht="15.75" customHeight="1">
      <c r="A35" s="6" t="s">
        <v>102</v>
      </c>
      <c r="B35" s="47" t="s">
        <v>22</v>
      </c>
      <c r="C35" s="47" t="s">
        <v>22</v>
      </c>
    </row>
    <row r="36" ht="15.75" customHeight="1">
      <c r="A36" s="6" t="s">
        <v>103</v>
      </c>
      <c r="B36" s="47" t="s">
        <v>22</v>
      </c>
      <c r="C36" s="47" t="s">
        <v>22</v>
      </c>
    </row>
    <row r="37" ht="15.75" customHeight="1">
      <c r="A37" s="6" t="s">
        <v>104</v>
      </c>
      <c r="B37" s="47" t="s">
        <v>22</v>
      </c>
      <c r="C37" s="47" t="s">
        <v>22</v>
      </c>
    </row>
    <row r="38" ht="15.75" customHeight="1">
      <c r="A38" s="6" t="s">
        <v>105</v>
      </c>
      <c r="B38" s="47" t="s">
        <v>106</v>
      </c>
      <c r="C38" s="47"/>
    </row>
    <row r="39" ht="15.75" customHeight="1">
      <c r="A39" s="6" t="s">
        <v>107</v>
      </c>
      <c r="B39" s="47" t="s">
        <v>22</v>
      </c>
      <c r="C39" s="47" t="s">
        <v>22</v>
      </c>
    </row>
    <row r="40" ht="15.75" customHeight="1">
      <c r="A40" s="6" t="s">
        <v>108</v>
      </c>
      <c r="B40" s="47" t="s">
        <v>22</v>
      </c>
      <c r="C40" s="47" t="s">
        <v>22</v>
      </c>
    </row>
    <row r="41" ht="15.75" customHeight="1">
      <c r="A41" s="6" t="s">
        <v>109</v>
      </c>
      <c r="B41" s="47" t="s">
        <v>22</v>
      </c>
      <c r="C41" s="47" t="s">
        <v>22</v>
      </c>
    </row>
    <row r="42" ht="15.75" customHeight="1">
      <c r="A42" s="6" t="s">
        <v>110</v>
      </c>
      <c r="B42" s="47"/>
      <c r="C42" s="4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3:G23"/>
    <mergeCell ref="A24:G24"/>
    <mergeCell ref="A25:G25"/>
    <mergeCell ref="A30:C30"/>
    <mergeCell ref="A1:B1"/>
    <mergeCell ref="A10:H10"/>
    <mergeCell ref="G12:G13"/>
    <mergeCell ref="H12:H13"/>
    <mergeCell ref="G17:G19"/>
    <mergeCell ref="H17:H19"/>
    <mergeCell ref="A22:G2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6" width="12.63"/>
  </cols>
  <sheetData>
    <row r="1" ht="15.75" customHeight="1">
      <c r="A1" s="34" t="s">
        <v>111</v>
      </c>
      <c r="B1" s="9"/>
    </row>
    <row r="2" ht="15.75" customHeight="1">
      <c r="A2" s="46" t="s">
        <v>112</v>
      </c>
      <c r="B2" s="46" t="s">
        <v>113</v>
      </c>
    </row>
    <row r="3" ht="15.75" customHeight="1">
      <c r="A3" s="6" t="s">
        <v>114</v>
      </c>
      <c r="B3" s="6" t="s">
        <v>115</v>
      </c>
    </row>
    <row r="4" ht="15.75" customHeight="1">
      <c r="A4" s="6" t="s">
        <v>116</v>
      </c>
      <c r="B4" s="6" t="s">
        <v>115</v>
      </c>
    </row>
    <row r="5" ht="15.75" customHeight="1">
      <c r="A5" s="6" t="s">
        <v>117</v>
      </c>
      <c r="B5" s="6" t="s">
        <v>115</v>
      </c>
    </row>
    <row r="6" ht="15.75" customHeight="1">
      <c r="A6" s="6" t="s">
        <v>118</v>
      </c>
      <c r="B6" s="6" t="s">
        <v>115</v>
      </c>
    </row>
    <row r="7" ht="15.75" customHeight="1">
      <c r="A7" s="6" t="s">
        <v>119</v>
      </c>
      <c r="B7" s="6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6" width="12.63"/>
  </cols>
  <sheetData>
    <row r="1" ht="15.75" customHeight="1">
      <c r="A1" s="34" t="s">
        <v>120</v>
      </c>
      <c r="B1" s="9"/>
    </row>
    <row r="2" ht="15.75" customHeight="1">
      <c r="A2" s="46" t="s">
        <v>121</v>
      </c>
      <c r="B2" s="46" t="s">
        <v>122</v>
      </c>
    </row>
    <row r="3" ht="15.75" customHeight="1">
      <c r="A3" s="6" t="s">
        <v>123</v>
      </c>
      <c r="B3" s="6">
        <f>10040*12</f>
        <v>120480</v>
      </c>
    </row>
    <row r="4" ht="15.75" customHeight="1">
      <c r="A4" s="6" t="s">
        <v>124</v>
      </c>
      <c r="B4" s="6" t="s">
        <v>125</v>
      </c>
    </row>
    <row r="5" ht="15.75" customHeight="1">
      <c r="A5" s="6" t="s">
        <v>126</v>
      </c>
      <c r="B5" s="6">
        <f>12*365</f>
        <v>4380</v>
      </c>
    </row>
    <row r="6" ht="30.0" customHeight="1">
      <c r="A6" s="6" t="s">
        <v>127</v>
      </c>
      <c r="B6" s="35">
        <f>B5/B3*100</f>
        <v>3.635458167</v>
      </c>
    </row>
    <row r="7" ht="15.75" customHeight="1"/>
    <row r="8" ht="15.75" customHeight="1"/>
    <row r="9" ht="15.75" customHeight="1">
      <c r="A9" s="34" t="s">
        <v>128</v>
      </c>
      <c r="B9" s="14"/>
      <c r="C9" s="14"/>
      <c r="D9" s="9"/>
    </row>
    <row r="10" ht="15.75" customHeight="1">
      <c r="A10" s="46" t="s">
        <v>129</v>
      </c>
      <c r="B10" s="46" t="s">
        <v>130</v>
      </c>
      <c r="C10" s="46" t="s">
        <v>131</v>
      </c>
      <c r="D10" s="6" t="s">
        <v>132</v>
      </c>
    </row>
    <row r="11" ht="15.75" customHeight="1">
      <c r="A11" s="6" t="s">
        <v>133</v>
      </c>
      <c r="B11" s="6" t="s">
        <v>134</v>
      </c>
      <c r="C11" s="6" t="s">
        <v>134</v>
      </c>
      <c r="D11" s="6" t="s">
        <v>134</v>
      </c>
    </row>
    <row r="12" ht="15.75" customHeight="1">
      <c r="A12" s="6" t="s">
        <v>135</v>
      </c>
      <c r="B12" s="6" t="s">
        <v>134</v>
      </c>
      <c r="C12" s="6" t="s">
        <v>134</v>
      </c>
      <c r="D12" s="6" t="s">
        <v>134</v>
      </c>
    </row>
    <row r="13" ht="15.75" customHeight="1">
      <c r="A13" s="6" t="s">
        <v>136</v>
      </c>
      <c r="B13" s="6" t="s">
        <v>134</v>
      </c>
      <c r="C13" s="6" t="s">
        <v>134</v>
      </c>
      <c r="D13" s="6" t="s">
        <v>134</v>
      </c>
    </row>
    <row r="14" ht="15.75" customHeight="1"/>
    <row r="15" ht="15.75" customHeight="1">
      <c r="A15" s="46" t="s">
        <v>137</v>
      </c>
      <c r="B15" s="46" t="s">
        <v>122</v>
      </c>
    </row>
    <row r="16" ht="15.75" customHeight="1">
      <c r="A16" s="6" t="s">
        <v>123</v>
      </c>
      <c r="B16" s="6" t="s">
        <v>134</v>
      </c>
    </row>
    <row r="17" ht="15.75" customHeight="1">
      <c r="A17" s="6" t="s">
        <v>138</v>
      </c>
      <c r="B17" s="6" t="s">
        <v>134</v>
      </c>
    </row>
    <row r="18" ht="15.75" customHeight="1">
      <c r="A18" s="6" t="s">
        <v>127</v>
      </c>
      <c r="B18" s="6" t="s">
        <v>134</v>
      </c>
    </row>
    <row r="19" ht="15.75" customHeight="1"/>
    <row r="20" ht="15.75" customHeight="1"/>
    <row r="21" ht="15.75" customHeight="1">
      <c r="A21" s="34" t="s">
        <v>128</v>
      </c>
      <c r="B21" s="14"/>
      <c r="C21" s="14"/>
      <c r="D21" s="9"/>
    </row>
    <row r="22" ht="15.75" customHeight="1">
      <c r="A22" s="46" t="s">
        <v>129</v>
      </c>
      <c r="B22" s="46" t="s">
        <v>130</v>
      </c>
      <c r="C22" s="46" t="s">
        <v>131</v>
      </c>
      <c r="D22" s="6" t="s">
        <v>132</v>
      </c>
    </row>
    <row r="23" ht="15.75" customHeight="1">
      <c r="A23" s="6" t="s">
        <v>133</v>
      </c>
      <c r="B23" s="6" t="s">
        <v>134</v>
      </c>
      <c r="C23" s="6" t="s">
        <v>134</v>
      </c>
      <c r="D23" s="6" t="s">
        <v>134</v>
      </c>
    </row>
    <row r="24" ht="15.75" customHeight="1">
      <c r="A24" s="6" t="s">
        <v>135</v>
      </c>
      <c r="B24" s="6" t="s">
        <v>134</v>
      </c>
      <c r="C24" s="6" t="s">
        <v>134</v>
      </c>
      <c r="D24" s="6" t="s">
        <v>134</v>
      </c>
    </row>
    <row r="25" ht="15.75" customHeight="1">
      <c r="A25" s="6" t="s">
        <v>136</v>
      </c>
      <c r="B25" s="6" t="s">
        <v>134</v>
      </c>
      <c r="C25" s="6" t="s">
        <v>134</v>
      </c>
      <c r="D25" s="6" t="s">
        <v>134</v>
      </c>
    </row>
    <row r="26" ht="10.5" customHeight="1"/>
    <row r="27" ht="15.75" customHeight="1">
      <c r="A27" s="46" t="s">
        <v>137</v>
      </c>
      <c r="B27" s="46" t="s">
        <v>122</v>
      </c>
    </row>
    <row r="28" ht="15.75" customHeight="1">
      <c r="A28" s="6" t="s">
        <v>123</v>
      </c>
      <c r="B28" s="6" t="s">
        <v>134</v>
      </c>
    </row>
    <row r="29" ht="15.75" customHeight="1">
      <c r="A29" s="6" t="s">
        <v>138</v>
      </c>
      <c r="B29" s="6" t="s">
        <v>134</v>
      </c>
    </row>
    <row r="30" ht="15.75" customHeight="1">
      <c r="A30" s="6" t="s">
        <v>127</v>
      </c>
      <c r="B30" s="6" t="s">
        <v>134</v>
      </c>
    </row>
    <row r="31" ht="15.75" customHeight="1"/>
    <row r="32" ht="15.75" customHeight="1"/>
    <row r="33" ht="15.75" customHeight="1">
      <c r="A33" s="48" t="s">
        <v>139</v>
      </c>
    </row>
    <row r="34" ht="11.25" customHeight="1">
      <c r="A34" s="49"/>
      <c r="B34" s="50"/>
      <c r="C34" s="50"/>
      <c r="D34" s="50"/>
      <c r="E34" s="50"/>
      <c r="F34" s="50"/>
      <c r="G34" s="51"/>
      <c r="H34" s="51"/>
      <c r="I34" s="51"/>
      <c r="J34" s="51"/>
      <c r="K34" s="51"/>
    </row>
    <row r="35" ht="15.75" customHeight="1">
      <c r="A35" s="52" t="b">
        <v>0</v>
      </c>
      <c r="B35" s="49" t="s">
        <v>140</v>
      </c>
      <c r="C35" s="50"/>
      <c r="D35" s="50"/>
      <c r="E35" s="50"/>
      <c r="F35" s="53"/>
      <c r="G35" s="51"/>
      <c r="H35" s="51"/>
      <c r="I35" s="51"/>
      <c r="J35" s="51"/>
      <c r="K35" s="51"/>
    </row>
    <row r="36" ht="15.75" customHeight="1">
      <c r="A36" s="49" t="s">
        <v>141</v>
      </c>
      <c r="B36" s="50"/>
      <c r="C36" s="50"/>
      <c r="D36" s="50"/>
      <c r="E36" s="50"/>
      <c r="F36" s="50"/>
      <c r="G36" s="51"/>
      <c r="H36" s="51"/>
      <c r="I36" s="51"/>
      <c r="J36" s="51"/>
      <c r="K36" s="51"/>
    </row>
    <row r="37" ht="15.75" customHeight="1">
      <c r="A37" s="52" t="b">
        <v>0</v>
      </c>
      <c r="B37" s="49" t="s">
        <v>142</v>
      </c>
      <c r="C37" s="50"/>
      <c r="D37" s="50"/>
      <c r="E37" s="50"/>
      <c r="F37" s="53"/>
      <c r="G37" s="51"/>
      <c r="H37" s="51"/>
      <c r="I37" s="51"/>
      <c r="J37" s="51"/>
      <c r="K37" s="51"/>
    </row>
    <row r="38" ht="15.75" customHeight="1">
      <c r="A38" s="49" t="s">
        <v>143</v>
      </c>
      <c r="B38" s="50"/>
      <c r="C38" s="50"/>
      <c r="D38" s="50"/>
      <c r="E38" s="50"/>
      <c r="F38" s="50"/>
      <c r="G38" s="51"/>
      <c r="H38" s="51"/>
      <c r="I38" s="51"/>
      <c r="J38" s="51"/>
      <c r="K38" s="51"/>
    </row>
    <row r="39" ht="15.75" customHeight="1">
      <c r="A39" s="52" t="b">
        <v>0</v>
      </c>
      <c r="B39" s="49" t="s">
        <v>144</v>
      </c>
      <c r="C39" s="50"/>
      <c r="D39" s="50"/>
      <c r="E39" s="53"/>
      <c r="F39" s="28"/>
      <c r="G39" s="51"/>
      <c r="H39" s="51"/>
      <c r="I39" s="51"/>
      <c r="J39" s="51"/>
      <c r="K39" s="51"/>
    </row>
    <row r="40" ht="15.75" customHeight="1">
      <c r="A40" s="49"/>
      <c r="B40" s="49"/>
      <c r="C40" s="49"/>
      <c r="D40" s="49"/>
      <c r="E40" s="49"/>
      <c r="F40" s="49"/>
      <c r="G40" s="51"/>
      <c r="H40" s="51"/>
      <c r="I40" s="51"/>
      <c r="J40" s="51"/>
      <c r="K40" s="51"/>
    </row>
    <row r="41" ht="15.75" customHeight="1">
      <c r="A41" s="54" t="s">
        <v>145</v>
      </c>
      <c r="B41" s="50"/>
      <c r="C41" s="50"/>
      <c r="D41" s="50"/>
      <c r="E41" s="53"/>
      <c r="F41" s="28"/>
      <c r="G41" s="51"/>
      <c r="H41" s="51"/>
      <c r="I41" s="51"/>
      <c r="J41" s="51"/>
      <c r="K41" s="51"/>
    </row>
    <row r="42" ht="15.75" customHeight="1">
      <c r="A42" s="54" t="s">
        <v>146</v>
      </c>
      <c r="B42" s="50"/>
      <c r="C42" s="50"/>
      <c r="D42" s="50"/>
      <c r="E42" s="53"/>
      <c r="F42" s="28"/>
      <c r="G42" s="51"/>
      <c r="H42" s="51"/>
      <c r="I42" s="51"/>
      <c r="J42" s="51"/>
      <c r="K42" s="51"/>
    </row>
    <row r="43" ht="15.75" customHeight="1">
      <c r="A43" s="54" t="s">
        <v>147</v>
      </c>
      <c r="B43" s="50"/>
      <c r="C43" s="50"/>
      <c r="D43" s="50"/>
      <c r="E43" s="53"/>
      <c r="F43" s="28"/>
      <c r="G43" s="51"/>
      <c r="H43" s="51"/>
      <c r="I43" s="51"/>
      <c r="J43" s="51"/>
      <c r="K43" s="5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6:F36"/>
    <mergeCell ref="B37:F37"/>
    <mergeCell ref="A38:F38"/>
    <mergeCell ref="B39:E39"/>
    <mergeCell ref="A41:E41"/>
    <mergeCell ref="A42:E42"/>
    <mergeCell ref="A43:E43"/>
    <mergeCell ref="A1:B1"/>
    <mergeCell ref="A9:D9"/>
    <mergeCell ref="A21:D21"/>
    <mergeCell ref="A26:D26"/>
    <mergeCell ref="A33:K33"/>
    <mergeCell ref="A34:F34"/>
    <mergeCell ref="B35:F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6" width="12.63"/>
  </cols>
  <sheetData>
    <row r="1" ht="15.75" customHeight="1">
      <c r="A1" s="55" t="s">
        <v>148</v>
      </c>
    </row>
    <row r="2" ht="11.25" customHeight="1">
      <c r="A2" s="56"/>
      <c r="B2" s="50"/>
      <c r="C2" s="50"/>
      <c r="D2" s="50"/>
      <c r="E2" s="51"/>
      <c r="F2" s="51"/>
      <c r="G2" s="51"/>
      <c r="H2" s="51"/>
    </row>
    <row r="3" ht="15.75" customHeight="1">
      <c r="A3" s="57" t="s">
        <v>149</v>
      </c>
      <c r="B3" s="58" t="s">
        <v>150</v>
      </c>
      <c r="C3" s="58" t="s">
        <v>151</v>
      </c>
      <c r="D3" s="58" t="s">
        <v>152</v>
      </c>
      <c r="E3" s="51"/>
      <c r="F3" s="51"/>
      <c r="G3" s="51"/>
      <c r="H3" s="51"/>
    </row>
    <row r="4" ht="15.75" customHeight="1">
      <c r="A4" s="59" t="s">
        <v>153</v>
      </c>
      <c r="B4" s="60"/>
      <c r="C4" s="60"/>
      <c r="D4" s="60"/>
      <c r="E4" s="51"/>
      <c r="F4" s="51" t="s">
        <v>154</v>
      </c>
      <c r="G4" s="51"/>
      <c r="H4" s="51"/>
    </row>
    <row r="5" ht="15.75" customHeight="1">
      <c r="A5" s="59" t="s">
        <v>155</v>
      </c>
      <c r="B5" s="60"/>
      <c r="C5" s="60"/>
      <c r="D5" s="60"/>
      <c r="E5" s="51"/>
      <c r="F5" s="51"/>
      <c r="G5" s="51"/>
      <c r="H5" s="51"/>
    </row>
    <row r="6" ht="15.75" customHeight="1">
      <c r="A6" s="59" t="s">
        <v>156</v>
      </c>
      <c r="B6" s="60"/>
      <c r="C6" s="60"/>
      <c r="D6" s="60"/>
      <c r="E6" s="51"/>
      <c r="F6" s="51"/>
      <c r="G6" s="51"/>
      <c r="H6" s="51"/>
    </row>
    <row r="7" ht="15.75" customHeight="1">
      <c r="A7" s="59" t="s">
        <v>157</v>
      </c>
      <c r="B7" s="60"/>
      <c r="C7" s="60"/>
      <c r="D7" s="60"/>
      <c r="E7" s="51"/>
      <c r="F7" s="51"/>
      <c r="G7" s="51"/>
      <c r="H7" s="51"/>
    </row>
    <row r="8" ht="15.75" customHeight="1">
      <c r="A8" s="59" t="s">
        <v>158</v>
      </c>
      <c r="B8" s="60"/>
      <c r="C8" s="60"/>
      <c r="D8" s="60"/>
      <c r="E8" s="51"/>
      <c r="F8" s="51"/>
      <c r="G8" s="51"/>
      <c r="H8" s="51"/>
    </row>
    <row r="9" ht="15.75" customHeight="1">
      <c r="A9" s="59" t="s">
        <v>159</v>
      </c>
      <c r="B9" s="60"/>
      <c r="C9" s="60"/>
      <c r="D9" s="60"/>
      <c r="E9" s="51"/>
      <c r="F9" s="51"/>
      <c r="G9" s="51"/>
      <c r="H9" s="51"/>
    </row>
    <row r="10" ht="15.75" customHeight="1">
      <c r="A10" s="59" t="s">
        <v>160</v>
      </c>
      <c r="B10" s="60"/>
      <c r="C10" s="60"/>
      <c r="D10" s="60"/>
      <c r="E10" s="51"/>
      <c r="F10" s="51"/>
      <c r="G10" s="51"/>
      <c r="H10" s="51"/>
    </row>
    <row r="11" ht="15.75" customHeight="1">
      <c r="A11" s="59" t="s">
        <v>161</v>
      </c>
      <c r="B11" s="60"/>
      <c r="C11" s="60"/>
      <c r="D11" s="60"/>
      <c r="E11" s="51"/>
      <c r="F11" s="51"/>
      <c r="G11" s="51"/>
      <c r="H11" s="51"/>
    </row>
    <row r="12" ht="15.75" customHeight="1">
      <c r="A12" s="59" t="s">
        <v>162</v>
      </c>
      <c r="B12" s="60"/>
      <c r="C12" s="60"/>
      <c r="D12" s="60"/>
      <c r="E12" s="51"/>
      <c r="F12" s="51"/>
      <c r="G12" s="51"/>
      <c r="H12" s="51"/>
    </row>
    <row r="13" ht="15.75" customHeight="1">
      <c r="A13" s="59" t="s">
        <v>163</v>
      </c>
      <c r="B13" s="60"/>
      <c r="C13" s="60"/>
      <c r="D13" s="60"/>
      <c r="E13" s="51"/>
      <c r="F13" s="51"/>
      <c r="G13" s="51"/>
      <c r="H13" s="51"/>
    </row>
    <row r="14" ht="15.75" customHeight="1">
      <c r="A14" s="59" t="s">
        <v>164</v>
      </c>
      <c r="B14" s="60"/>
      <c r="C14" s="60"/>
      <c r="D14" s="60"/>
      <c r="E14" s="51"/>
      <c r="F14" s="51"/>
      <c r="G14" s="51"/>
      <c r="H14" s="51"/>
    </row>
    <row r="15" ht="15.75" customHeight="1">
      <c r="A15" s="59" t="s">
        <v>165</v>
      </c>
      <c r="B15" s="60"/>
      <c r="C15" s="60"/>
      <c r="D15" s="60"/>
      <c r="E15" s="51"/>
      <c r="F15" s="51"/>
      <c r="G15" s="51"/>
      <c r="H15" s="51"/>
    </row>
    <row r="16" ht="15.75" customHeight="1">
      <c r="A16" s="59" t="s">
        <v>166</v>
      </c>
      <c r="B16" s="60"/>
      <c r="C16" s="60"/>
      <c r="D16" s="60"/>
      <c r="E16" s="51"/>
      <c r="F16" s="51"/>
      <c r="G16" s="51"/>
      <c r="H16" s="51"/>
    </row>
    <row r="17" ht="15.75" customHeight="1">
      <c r="A17" s="59" t="s">
        <v>167</v>
      </c>
      <c r="B17" s="60"/>
      <c r="C17" s="60"/>
      <c r="D17" s="60"/>
      <c r="E17" s="51"/>
      <c r="F17" s="51"/>
      <c r="G17" s="51"/>
      <c r="H17" s="51"/>
    </row>
    <row r="18" ht="15.75" customHeight="1">
      <c r="A18" s="59" t="s">
        <v>168</v>
      </c>
      <c r="B18" s="60"/>
      <c r="C18" s="60"/>
      <c r="D18" s="60"/>
      <c r="E18" s="51"/>
      <c r="F18" s="51"/>
      <c r="G18" s="51"/>
      <c r="H18" s="51"/>
    </row>
    <row r="19" ht="15.75" customHeight="1">
      <c r="A19" s="61"/>
    </row>
    <row r="20" ht="15.75" customHeight="1">
      <c r="A20" s="61"/>
    </row>
    <row r="21" ht="15.75" customHeight="1">
      <c r="A21" s="61"/>
    </row>
    <row r="22" ht="15.75" customHeight="1">
      <c r="A22" s="61"/>
    </row>
    <row r="23" ht="15.75" customHeight="1">
      <c r="A23" s="61"/>
    </row>
    <row r="24" ht="15.75" customHeight="1">
      <c r="A24" s="61"/>
    </row>
    <row r="25" ht="15.75" customHeight="1">
      <c r="A25" s="61"/>
    </row>
    <row r="26" ht="15.75" customHeight="1">
      <c r="A26" s="61"/>
    </row>
    <row r="27" ht="15.75" customHeight="1">
      <c r="A27" s="61"/>
    </row>
    <row r="28" ht="15.75" customHeight="1">
      <c r="A28" s="61"/>
    </row>
    <row r="29" ht="15.75" customHeight="1">
      <c r="A29" s="61"/>
    </row>
    <row r="30" ht="15.75" customHeight="1">
      <c r="A30" s="61"/>
    </row>
    <row r="31" ht="15.75" customHeight="1">
      <c r="A31" s="61"/>
    </row>
    <row r="32" ht="15.75" customHeight="1">
      <c r="A32" s="61"/>
    </row>
    <row r="33" ht="15.75" customHeight="1">
      <c r="A33" s="61"/>
    </row>
    <row r="34" ht="15.75" customHeight="1">
      <c r="A34" s="61"/>
    </row>
    <row r="35" ht="15.75" customHeight="1">
      <c r="A35" s="61"/>
    </row>
    <row r="36" ht="15.75" customHeight="1">
      <c r="A36" s="61"/>
    </row>
    <row r="37" ht="15.75" customHeight="1">
      <c r="A37" s="61"/>
    </row>
    <row r="38" ht="15.75" customHeight="1">
      <c r="A38" s="61"/>
    </row>
    <row r="39" ht="15.75" customHeight="1">
      <c r="A39" s="61"/>
    </row>
    <row r="40" ht="15.75" customHeight="1">
      <c r="A40" s="61"/>
    </row>
    <row r="41" ht="15.75" customHeight="1">
      <c r="A41" s="61"/>
    </row>
    <row r="42" ht="15.75" customHeight="1">
      <c r="A42" s="61"/>
    </row>
    <row r="43" ht="15.75" customHeight="1">
      <c r="A43" s="61"/>
    </row>
    <row r="44" ht="15.75" customHeight="1">
      <c r="A44" s="61"/>
    </row>
    <row r="45" ht="15.75" customHeight="1">
      <c r="A45" s="61"/>
    </row>
    <row r="46" ht="15.75" customHeight="1">
      <c r="A46" s="61"/>
    </row>
    <row r="47" ht="15.75" customHeight="1">
      <c r="A47" s="61"/>
    </row>
    <row r="48" ht="15.75" customHeight="1">
      <c r="A48" s="61"/>
    </row>
    <row r="49" ht="15.75" customHeight="1">
      <c r="A49" s="61"/>
    </row>
    <row r="50" ht="15.75" customHeight="1">
      <c r="A50" s="61"/>
    </row>
    <row r="51" ht="15.75" customHeight="1">
      <c r="A51" s="61"/>
    </row>
    <row r="52" ht="15.75" customHeight="1">
      <c r="A52" s="61"/>
    </row>
    <row r="53" ht="15.75" customHeight="1">
      <c r="A53" s="61"/>
    </row>
    <row r="54" ht="15.75" customHeight="1">
      <c r="A54" s="61"/>
    </row>
    <row r="55" ht="15.75" customHeight="1">
      <c r="A55" s="61"/>
    </row>
    <row r="56" ht="15.75" customHeight="1">
      <c r="A56" s="61"/>
    </row>
    <row r="57" ht="15.75" customHeight="1">
      <c r="A57" s="61"/>
    </row>
    <row r="58" ht="15.75" customHeight="1">
      <c r="A58" s="61"/>
    </row>
    <row r="59" ht="15.75" customHeight="1">
      <c r="A59" s="61"/>
    </row>
    <row r="60" ht="15.75" customHeight="1">
      <c r="A60" s="61"/>
    </row>
    <row r="61" ht="15.75" customHeight="1">
      <c r="A61" s="61"/>
    </row>
    <row r="62" ht="15.75" customHeight="1">
      <c r="A62" s="61"/>
    </row>
    <row r="63" ht="15.75" customHeight="1">
      <c r="A63" s="61"/>
    </row>
    <row r="64" ht="15.75" customHeight="1">
      <c r="A64" s="61"/>
    </row>
    <row r="65" ht="15.75" customHeight="1">
      <c r="A65" s="61"/>
    </row>
    <row r="66" ht="15.75" customHeight="1">
      <c r="A66" s="61"/>
    </row>
    <row r="67" ht="15.75" customHeight="1">
      <c r="A67" s="61"/>
    </row>
    <row r="68" ht="15.75" customHeight="1">
      <c r="A68" s="61"/>
    </row>
    <row r="69" ht="15.75" customHeight="1">
      <c r="A69" s="61"/>
    </row>
    <row r="70" ht="15.75" customHeight="1">
      <c r="A70" s="61"/>
    </row>
    <row r="71" ht="15.75" customHeight="1">
      <c r="A71" s="61"/>
    </row>
    <row r="72" ht="15.75" customHeight="1">
      <c r="A72" s="61"/>
    </row>
    <row r="73" ht="15.75" customHeight="1">
      <c r="A73" s="61"/>
    </row>
    <row r="74" ht="15.75" customHeight="1">
      <c r="A74" s="61"/>
    </row>
    <row r="75" ht="15.75" customHeight="1">
      <c r="A75" s="61"/>
    </row>
    <row r="76" ht="15.75" customHeight="1">
      <c r="A76" s="61"/>
    </row>
    <row r="77" ht="15.75" customHeight="1">
      <c r="A77" s="61"/>
    </row>
    <row r="78" ht="15.75" customHeight="1">
      <c r="A78" s="61"/>
    </row>
    <row r="79" ht="15.75" customHeight="1">
      <c r="A79" s="61"/>
    </row>
    <row r="80" ht="15.75" customHeight="1">
      <c r="A80" s="61"/>
    </row>
    <row r="81" ht="15.75" customHeight="1">
      <c r="A81" s="61"/>
    </row>
    <row r="82" ht="15.75" customHeight="1">
      <c r="A82" s="61"/>
    </row>
    <row r="83" ht="15.75" customHeight="1">
      <c r="A83" s="61"/>
    </row>
    <row r="84" ht="15.75" customHeight="1">
      <c r="A84" s="61"/>
    </row>
    <row r="85" ht="15.75" customHeight="1">
      <c r="A85" s="61"/>
    </row>
    <row r="86" ht="15.75" customHeight="1">
      <c r="A86" s="61"/>
    </row>
    <row r="87" ht="15.75" customHeight="1">
      <c r="A87" s="61"/>
    </row>
    <row r="88" ht="15.75" customHeight="1">
      <c r="A88" s="61"/>
    </row>
    <row r="89" ht="15.75" customHeight="1">
      <c r="A89" s="61"/>
    </row>
    <row r="90" ht="15.75" customHeight="1">
      <c r="A90" s="61"/>
    </row>
    <row r="91" ht="15.75" customHeight="1">
      <c r="A91" s="61"/>
    </row>
    <row r="92" ht="15.75" customHeight="1">
      <c r="A92" s="61"/>
    </row>
    <row r="93" ht="15.75" customHeight="1">
      <c r="A93" s="61"/>
    </row>
    <row r="94" ht="15.75" customHeight="1">
      <c r="A94" s="61"/>
    </row>
    <row r="95" ht="15.75" customHeight="1">
      <c r="A95" s="61"/>
    </row>
    <row r="96" ht="15.75" customHeight="1">
      <c r="A96" s="61"/>
    </row>
    <row r="97" ht="15.75" customHeight="1">
      <c r="A97" s="61"/>
    </row>
    <row r="98" ht="15.75" customHeight="1">
      <c r="A98" s="61"/>
    </row>
    <row r="99" ht="15.75" customHeight="1">
      <c r="A99" s="61"/>
    </row>
    <row r="100" ht="15.75" customHeight="1">
      <c r="A100" s="61"/>
    </row>
    <row r="101" ht="15.75" customHeight="1">
      <c r="A101" s="61"/>
    </row>
    <row r="102" ht="15.75" customHeight="1">
      <c r="A102" s="61"/>
    </row>
    <row r="103" ht="15.75" customHeight="1">
      <c r="A103" s="61"/>
    </row>
    <row r="104" ht="15.75" customHeight="1">
      <c r="A104" s="61"/>
    </row>
    <row r="105" ht="15.75" customHeight="1">
      <c r="A105" s="61"/>
    </row>
    <row r="106" ht="15.75" customHeight="1">
      <c r="A106" s="61"/>
    </row>
    <row r="107" ht="15.75" customHeight="1">
      <c r="A107" s="61"/>
    </row>
    <row r="108" ht="15.75" customHeight="1">
      <c r="A108" s="61"/>
    </row>
    <row r="109" ht="15.75" customHeight="1">
      <c r="A109" s="61"/>
    </row>
    <row r="110" ht="15.75" customHeight="1">
      <c r="A110" s="61"/>
    </row>
    <row r="111" ht="15.75" customHeight="1">
      <c r="A111" s="61"/>
    </row>
    <row r="112" ht="15.75" customHeight="1">
      <c r="A112" s="61"/>
    </row>
    <row r="113" ht="15.75" customHeight="1">
      <c r="A113" s="61"/>
    </row>
    <row r="114" ht="15.75" customHeight="1">
      <c r="A114" s="61"/>
    </row>
    <row r="115" ht="15.75" customHeight="1">
      <c r="A115" s="61"/>
    </row>
    <row r="116" ht="15.75" customHeight="1">
      <c r="A116" s="61"/>
    </row>
    <row r="117" ht="15.75" customHeight="1">
      <c r="A117" s="61"/>
    </row>
    <row r="118" ht="15.75" customHeight="1">
      <c r="A118" s="61"/>
    </row>
    <row r="119" ht="15.75" customHeight="1">
      <c r="A119" s="61"/>
    </row>
    <row r="120" ht="15.75" customHeight="1">
      <c r="A120" s="61"/>
    </row>
    <row r="121" ht="15.75" customHeight="1">
      <c r="A121" s="61"/>
    </row>
    <row r="122" ht="15.75" customHeight="1">
      <c r="A122" s="61"/>
    </row>
    <row r="123" ht="15.75" customHeight="1">
      <c r="A123" s="61"/>
    </row>
    <row r="124" ht="15.75" customHeight="1">
      <c r="A124" s="61"/>
    </row>
    <row r="125" ht="15.75" customHeight="1">
      <c r="A125" s="61"/>
    </row>
    <row r="126" ht="15.75" customHeight="1">
      <c r="A126" s="61"/>
    </row>
    <row r="127" ht="15.75" customHeight="1">
      <c r="A127" s="61"/>
    </row>
    <row r="128" ht="15.75" customHeight="1">
      <c r="A128" s="61"/>
    </row>
    <row r="129" ht="15.75" customHeight="1">
      <c r="A129" s="61"/>
    </row>
    <row r="130" ht="15.75" customHeight="1">
      <c r="A130" s="61"/>
    </row>
    <row r="131" ht="15.75" customHeight="1">
      <c r="A131" s="61"/>
    </row>
    <row r="132" ht="15.75" customHeight="1">
      <c r="A132" s="61"/>
    </row>
    <row r="133" ht="15.75" customHeight="1">
      <c r="A133" s="61"/>
    </row>
    <row r="134" ht="15.75" customHeight="1">
      <c r="A134" s="61"/>
    </row>
    <row r="135" ht="15.75" customHeight="1">
      <c r="A135" s="61"/>
    </row>
    <row r="136" ht="15.75" customHeight="1">
      <c r="A136" s="61"/>
    </row>
    <row r="137" ht="15.75" customHeight="1">
      <c r="A137" s="61"/>
    </row>
    <row r="138" ht="15.75" customHeight="1">
      <c r="A138" s="61"/>
    </row>
    <row r="139" ht="15.75" customHeight="1">
      <c r="A139" s="61"/>
    </row>
    <row r="140" ht="15.75" customHeight="1">
      <c r="A140" s="61"/>
    </row>
    <row r="141" ht="15.75" customHeight="1">
      <c r="A141" s="61"/>
    </row>
    <row r="142" ht="15.75" customHeight="1">
      <c r="A142" s="61"/>
    </row>
    <row r="143" ht="15.75" customHeight="1">
      <c r="A143" s="61"/>
    </row>
    <row r="144" ht="15.75" customHeight="1">
      <c r="A144" s="61"/>
    </row>
    <row r="145" ht="15.75" customHeight="1">
      <c r="A145" s="61"/>
    </row>
    <row r="146" ht="15.75" customHeight="1">
      <c r="A146" s="61"/>
    </row>
    <row r="147" ht="15.75" customHeight="1">
      <c r="A147" s="61"/>
    </row>
    <row r="148" ht="15.75" customHeight="1">
      <c r="A148" s="61"/>
    </row>
    <row r="149" ht="15.75" customHeight="1">
      <c r="A149" s="61"/>
    </row>
    <row r="150" ht="15.75" customHeight="1">
      <c r="A150" s="61"/>
    </row>
    <row r="151" ht="15.75" customHeight="1">
      <c r="A151" s="61"/>
    </row>
    <row r="152" ht="15.75" customHeight="1">
      <c r="A152" s="61"/>
    </row>
    <row r="153" ht="15.75" customHeight="1">
      <c r="A153" s="61"/>
    </row>
    <row r="154" ht="15.75" customHeight="1">
      <c r="A154" s="61"/>
    </row>
    <row r="155" ht="15.75" customHeight="1">
      <c r="A155" s="61"/>
    </row>
    <row r="156" ht="15.75" customHeight="1">
      <c r="A156" s="61"/>
    </row>
    <row r="157" ht="15.75" customHeight="1">
      <c r="A157" s="61"/>
    </row>
    <row r="158" ht="15.75" customHeight="1">
      <c r="A158" s="61"/>
    </row>
    <row r="159" ht="15.75" customHeight="1">
      <c r="A159" s="61"/>
    </row>
    <row r="160" ht="15.75" customHeight="1">
      <c r="A160" s="61"/>
    </row>
    <row r="161" ht="15.75" customHeight="1">
      <c r="A161" s="61"/>
    </row>
    <row r="162" ht="15.75" customHeight="1">
      <c r="A162" s="61"/>
    </row>
    <row r="163" ht="15.75" customHeight="1">
      <c r="A163" s="61"/>
    </row>
    <row r="164" ht="15.75" customHeight="1">
      <c r="A164" s="61"/>
    </row>
    <row r="165" ht="15.75" customHeight="1">
      <c r="A165" s="61"/>
    </row>
    <row r="166" ht="15.75" customHeight="1">
      <c r="A166" s="61"/>
    </row>
    <row r="167" ht="15.75" customHeight="1">
      <c r="A167" s="61"/>
    </row>
    <row r="168" ht="15.75" customHeight="1">
      <c r="A168" s="61"/>
    </row>
    <row r="169" ht="15.75" customHeight="1">
      <c r="A169" s="61"/>
    </row>
    <row r="170" ht="15.75" customHeight="1">
      <c r="A170" s="61"/>
    </row>
    <row r="171" ht="15.75" customHeight="1">
      <c r="A171" s="61"/>
    </row>
    <row r="172" ht="15.75" customHeight="1">
      <c r="A172" s="61"/>
    </row>
    <row r="173" ht="15.75" customHeight="1">
      <c r="A173" s="61"/>
    </row>
    <row r="174" ht="15.75" customHeight="1">
      <c r="A174" s="61"/>
    </row>
    <row r="175" ht="15.75" customHeight="1">
      <c r="A175" s="61"/>
    </row>
    <row r="176" ht="15.75" customHeight="1">
      <c r="A176" s="61"/>
    </row>
    <row r="177" ht="15.75" customHeight="1">
      <c r="A177" s="61"/>
    </row>
    <row r="178" ht="15.75" customHeight="1">
      <c r="A178" s="61"/>
    </row>
    <row r="179" ht="15.75" customHeight="1">
      <c r="A179" s="61"/>
    </row>
    <row r="180" ht="15.75" customHeight="1">
      <c r="A180" s="61"/>
    </row>
    <row r="181" ht="15.75" customHeight="1">
      <c r="A181" s="61"/>
    </row>
    <row r="182" ht="15.75" customHeight="1">
      <c r="A182" s="61"/>
    </row>
    <row r="183" ht="15.75" customHeight="1">
      <c r="A183" s="61"/>
    </row>
    <row r="184" ht="15.75" customHeight="1">
      <c r="A184" s="61"/>
    </row>
    <row r="185" ht="15.75" customHeight="1">
      <c r="A185" s="61"/>
    </row>
    <row r="186" ht="15.75" customHeight="1">
      <c r="A186" s="61"/>
    </row>
    <row r="187" ht="15.75" customHeight="1">
      <c r="A187" s="61"/>
    </row>
    <row r="188" ht="15.75" customHeight="1">
      <c r="A188" s="61"/>
    </row>
    <row r="189" ht="15.75" customHeight="1">
      <c r="A189" s="61"/>
    </row>
    <row r="190" ht="15.75" customHeight="1">
      <c r="A190" s="61"/>
    </row>
    <row r="191" ht="15.75" customHeight="1">
      <c r="A191" s="61"/>
    </row>
    <row r="192" ht="15.75" customHeight="1">
      <c r="A192" s="61"/>
    </row>
    <row r="193" ht="15.75" customHeight="1">
      <c r="A193" s="61"/>
    </row>
    <row r="194" ht="15.75" customHeight="1">
      <c r="A194" s="61"/>
    </row>
    <row r="195" ht="15.75" customHeight="1">
      <c r="A195" s="61"/>
    </row>
    <row r="196" ht="15.75" customHeight="1">
      <c r="A196" s="61"/>
    </row>
    <row r="197" ht="15.75" customHeight="1">
      <c r="A197" s="61"/>
    </row>
    <row r="198" ht="15.75" customHeight="1">
      <c r="A198" s="61"/>
    </row>
    <row r="199" ht="15.75" customHeight="1">
      <c r="A199" s="61"/>
    </row>
    <row r="200" ht="15.75" customHeight="1">
      <c r="A200" s="61"/>
    </row>
    <row r="201" ht="15.75" customHeight="1">
      <c r="A201" s="61"/>
    </row>
    <row r="202" ht="15.75" customHeight="1">
      <c r="A202" s="61"/>
    </row>
    <row r="203" ht="15.75" customHeight="1">
      <c r="A203" s="61"/>
    </row>
    <row r="204" ht="15.75" customHeight="1">
      <c r="A204" s="61"/>
    </row>
    <row r="205" ht="15.75" customHeight="1">
      <c r="A205" s="61"/>
    </row>
    <row r="206" ht="15.75" customHeight="1">
      <c r="A206" s="61"/>
    </row>
    <row r="207" ht="15.75" customHeight="1">
      <c r="A207" s="61"/>
    </row>
    <row r="208" ht="15.75" customHeight="1">
      <c r="A208" s="61"/>
    </row>
    <row r="209" ht="15.75" customHeight="1">
      <c r="A209" s="61"/>
    </row>
    <row r="210" ht="15.75" customHeight="1">
      <c r="A210" s="61"/>
    </row>
    <row r="211" ht="15.75" customHeight="1">
      <c r="A211" s="61"/>
    </row>
    <row r="212" ht="15.75" customHeight="1">
      <c r="A212" s="61"/>
    </row>
    <row r="213" ht="15.75" customHeight="1">
      <c r="A213" s="61"/>
    </row>
    <row r="214" ht="15.75" customHeight="1">
      <c r="A214" s="61"/>
    </row>
    <row r="215" ht="15.75" customHeight="1">
      <c r="A215" s="61"/>
    </row>
    <row r="216" ht="15.75" customHeight="1">
      <c r="A216" s="61"/>
    </row>
    <row r="217" ht="15.75" customHeight="1">
      <c r="A217" s="61"/>
    </row>
    <row r="218" ht="15.75" customHeight="1">
      <c r="A218" s="61"/>
    </row>
    <row r="219" ht="15.75" customHeight="1">
      <c r="A219" s="61"/>
    </row>
    <row r="220" ht="15.75" customHeight="1">
      <c r="A220" s="6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D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5" width="12.63"/>
    <col customWidth="1" min="6" max="6" width="19.25"/>
    <col customWidth="1" min="7" max="7" width="22.5"/>
  </cols>
  <sheetData>
    <row r="1" ht="15.75" customHeight="1">
      <c r="A1" s="62" t="s">
        <v>169</v>
      </c>
    </row>
    <row r="2" ht="12.0" customHeight="1">
      <c r="A2" s="49"/>
      <c r="B2" s="50"/>
      <c r="C2" s="50"/>
      <c r="D2" s="50"/>
      <c r="E2" s="50"/>
      <c r="F2" s="50"/>
      <c r="G2" s="50"/>
    </row>
    <row r="3" ht="15.75" customHeight="1">
      <c r="A3" s="63" t="s">
        <v>170</v>
      </c>
      <c r="B3" s="50"/>
      <c r="C3" s="50"/>
      <c r="D3" s="50"/>
      <c r="E3" s="50"/>
      <c r="F3" s="50"/>
      <c r="G3" s="53"/>
    </row>
    <row r="4" ht="13.5" customHeight="1">
      <c r="A4" s="64"/>
      <c r="B4" s="50"/>
      <c r="C4" s="50"/>
      <c r="D4" s="50"/>
      <c r="E4" s="50"/>
      <c r="F4" s="50"/>
      <c r="G4" s="50"/>
    </row>
    <row r="5" ht="15.75" customHeight="1">
      <c r="A5" s="65" t="b">
        <v>1</v>
      </c>
      <c r="B5" s="49" t="s">
        <v>171</v>
      </c>
      <c r="C5" s="50"/>
      <c r="D5" s="50"/>
      <c r="E5" s="50"/>
      <c r="F5" s="50"/>
      <c r="G5" s="53"/>
    </row>
    <row r="6" ht="9.0" customHeight="1">
      <c r="A6" s="64"/>
      <c r="B6" s="50"/>
      <c r="C6" s="50"/>
      <c r="D6" s="50"/>
      <c r="E6" s="50"/>
      <c r="F6" s="50"/>
      <c r="G6" s="50"/>
    </row>
    <row r="7" ht="15.75" customHeight="1">
      <c r="A7" s="65" t="b">
        <v>1</v>
      </c>
      <c r="B7" s="49" t="s">
        <v>172</v>
      </c>
      <c r="C7" s="50"/>
      <c r="D7" s="50"/>
      <c r="E7" s="50"/>
      <c r="F7" s="50"/>
      <c r="G7" s="53"/>
    </row>
    <row r="8" ht="10.5" customHeight="1">
      <c r="A8" s="64"/>
      <c r="B8" s="50"/>
      <c r="C8" s="50"/>
      <c r="D8" s="50"/>
      <c r="E8" s="50"/>
      <c r="F8" s="50"/>
      <c r="G8" s="50"/>
    </row>
    <row r="9" ht="15.75" customHeight="1">
      <c r="A9" s="65" t="b">
        <v>1</v>
      </c>
      <c r="B9" s="49" t="s">
        <v>173</v>
      </c>
      <c r="C9" s="50"/>
      <c r="D9" s="50"/>
      <c r="E9" s="50"/>
      <c r="F9" s="50"/>
      <c r="G9" s="53"/>
    </row>
    <row r="10" ht="10.5" customHeight="1">
      <c r="A10" s="64"/>
      <c r="B10" s="50"/>
      <c r="C10" s="50"/>
      <c r="D10" s="50"/>
      <c r="E10" s="50"/>
      <c r="F10" s="50"/>
      <c r="G10" s="50"/>
    </row>
    <row r="11" ht="15.75" customHeight="1">
      <c r="A11" s="66" t="s">
        <v>174</v>
      </c>
      <c r="B11" s="67" t="s">
        <v>175</v>
      </c>
      <c r="C11" s="68" t="s">
        <v>176</v>
      </c>
      <c r="D11" s="14"/>
      <c r="E11" s="9"/>
      <c r="F11" s="67" t="s">
        <v>177</v>
      </c>
      <c r="G11" s="67" t="s">
        <v>178</v>
      </c>
    </row>
    <row r="12" ht="15.75" customHeight="1">
      <c r="A12" s="19"/>
      <c r="B12" s="53"/>
      <c r="C12" s="69" t="s">
        <v>179</v>
      </c>
      <c r="D12" s="69" t="s">
        <v>180</v>
      </c>
      <c r="E12" s="69" t="s">
        <v>181</v>
      </c>
      <c r="F12" s="53"/>
      <c r="G12" s="53"/>
    </row>
    <row r="13" ht="15.75" customHeight="1">
      <c r="A13" s="70" t="s">
        <v>166</v>
      </c>
      <c r="B13" s="71" t="s">
        <v>182</v>
      </c>
      <c r="C13" s="71">
        <v>10.0</v>
      </c>
      <c r="D13" s="71">
        <v>10.0</v>
      </c>
      <c r="E13" s="71">
        <f t="shared" ref="E13:E24" si="1">C13-D13</f>
        <v>0</v>
      </c>
      <c r="F13" s="72" t="s">
        <v>183</v>
      </c>
      <c r="G13" s="72" t="s">
        <v>184</v>
      </c>
    </row>
    <row r="14" ht="15.75" customHeight="1">
      <c r="A14" s="70" t="s">
        <v>185</v>
      </c>
      <c r="B14" s="71" t="s">
        <v>182</v>
      </c>
      <c r="C14" s="71">
        <v>50.0</v>
      </c>
      <c r="D14" s="71">
        <v>50.0</v>
      </c>
      <c r="E14" s="71">
        <f t="shared" si="1"/>
        <v>0</v>
      </c>
      <c r="F14" s="72" t="s">
        <v>186</v>
      </c>
      <c r="G14" s="72" t="s">
        <v>187</v>
      </c>
    </row>
    <row r="15" ht="15.75" customHeight="1">
      <c r="A15" s="70" t="s">
        <v>188</v>
      </c>
      <c r="B15" s="71" t="s">
        <v>182</v>
      </c>
      <c r="C15" s="71">
        <v>50.0</v>
      </c>
      <c r="D15" s="71">
        <f>C15</f>
        <v>50</v>
      </c>
      <c r="E15" s="71">
        <f t="shared" si="1"/>
        <v>0</v>
      </c>
      <c r="F15" s="72" t="s">
        <v>183</v>
      </c>
      <c r="G15" s="72" t="s">
        <v>184</v>
      </c>
    </row>
    <row r="16" ht="15.75" customHeight="1">
      <c r="A16" s="70" t="s">
        <v>189</v>
      </c>
      <c r="B16" s="71" t="s">
        <v>182</v>
      </c>
      <c r="C16" s="71">
        <v>20.0</v>
      </c>
      <c r="D16" s="71">
        <v>20.0</v>
      </c>
      <c r="E16" s="71">
        <f t="shared" si="1"/>
        <v>0</v>
      </c>
      <c r="F16" s="72" t="s">
        <v>190</v>
      </c>
      <c r="G16" s="72" t="s">
        <v>191</v>
      </c>
    </row>
    <row r="17" ht="15.75" customHeight="1">
      <c r="A17" s="70" t="s">
        <v>192</v>
      </c>
      <c r="B17" s="71" t="s">
        <v>182</v>
      </c>
      <c r="C17" s="71">
        <v>25.0</v>
      </c>
      <c r="D17" s="71">
        <v>25.0</v>
      </c>
      <c r="E17" s="71">
        <f t="shared" si="1"/>
        <v>0</v>
      </c>
      <c r="F17" s="72" t="s">
        <v>183</v>
      </c>
      <c r="G17" s="72" t="s">
        <v>184</v>
      </c>
    </row>
    <row r="18" ht="15.75" customHeight="1">
      <c r="A18" s="70" t="s">
        <v>193</v>
      </c>
      <c r="B18" s="71" t="s">
        <v>182</v>
      </c>
      <c r="C18" s="71">
        <v>50.0</v>
      </c>
      <c r="D18" s="71">
        <v>50.0</v>
      </c>
      <c r="E18" s="71">
        <f t="shared" si="1"/>
        <v>0</v>
      </c>
      <c r="F18" s="72" t="s">
        <v>194</v>
      </c>
      <c r="G18" s="72" t="s">
        <v>195</v>
      </c>
    </row>
    <row r="19" ht="15.75" customHeight="1">
      <c r="A19" s="70" t="s">
        <v>196</v>
      </c>
      <c r="B19" s="71" t="s">
        <v>182</v>
      </c>
      <c r="C19" s="71">
        <v>200.0</v>
      </c>
      <c r="D19" s="71">
        <v>200.0</v>
      </c>
      <c r="E19" s="71">
        <f t="shared" si="1"/>
        <v>0</v>
      </c>
      <c r="F19" s="72" t="s">
        <v>194</v>
      </c>
      <c r="G19" s="72" t="s">
        <v>195</v>
      </c>
    </row>
    <row r="20" ht="15.75" customHeight="1">
      <c r="A20" s="70" t="s">
        <v>197</v>
      </c>
      <c r="B20" s="71" t="s">
        <v>182</v>
      </c>
      <c r="C20" s="71">
        <v>150.0</v>
      </c>
      <c r="D20" s="71">
        <v>150.0</v>
      </c>
      <c r="E20" s="71">
        <f t="shared" si="1"/>
        <v>0</v>
      </c>
      <c r="F20" s="72" t="s">
        <v>183</v>
      </c>
      <c r="G20" s="72" t="s">
        <v>198</v>
      </c>
    </row>
    <row r="21" ht="15.75" customHeight="1">
      <c r="A21" s="70" t="s">
        <v>199</v>
      </c>
      <c r="B21" s="71" t="s">
        <v>182</v>
      </c>
      <c r="C21" s="71">
        <v>25.0</v>
      </c>
      <c r="D21" s="71">
        <v>25.0</v>
      </c>
      <c r="E21" s="71">
        <f t="shared" si="1"/>
        <v>0</v>
      </c>
      <c r="F21" s="72" t="s">
        <v>183</v>
      </c>
      <c r="G21" s="72" t="s">
        <v>198</v>
      </c>
    </row>
    <row r="22" ht="15.75" customHeight="1">
      <c r="A22" s="70" t="s">
        <v>200</v>
      </c>
      <c r="B22" s="71" t="s">
        <v>201</v>
      </c>
      <c r="C22" s="71">
        <v>10.0</v>
      </c>
      <c r="D22" s="71">
        <v>10.0</v>
      </c>
      <c r="E22" s="71">
        <f t="shared" si="1"/>
        <v>0</v>
      </c>
      <c r="F22" s="72" t="s">
        <v>183</v>
      </c>
      <c r="G22" s="72" t="s">
        <v>202</v>
      </c>
    </row>
    <row r="23" ht="15.75" customHeight="1">
      <c r="A23" s="70" t="s">
        <v>203</v>
      </c>
      <c r="B23" s="71" t="s">
        <v>201</v>
      </c>
      <c r="C23" s="71">
        <v>20.0</v>
      </c>
      <c r="D23" s="71">
        <v>20.0</v>
      </c>
      <c r="E23" s="71">
        <f t="shared" si="1"/>
        <v>0</v>
      </c>
      <c r="F23" s="72" t="s">
        <v>183</v>
      </c>
      <c r="G23" s="72" t="s">
        <v>204</v>
      </c>
    </row>
    <row r="24" ht="15.75" customHeight="1">
      <c r="A24" s="70" t="s">
        <v>205</v>
      </c>
      <c r="B24" s="71" t="s">
        <v>182</v>
      </c>
      <c r="C24" s="71">
        <v>5.0</v>
      </c>
      <c r="D24" s="71">
        <v>0.0</v>
      </c>
      <c r="E24" s="71">
        <f t="shared" si="1"/>
        <v>5</v>
      </c>
      <c r="F24" s="72"/>
      <c r="G24" s="72"/>
    </row>
    <row r="25" ht="15.75" customHeight="1">
      <c r="A25" s="70" t="s">
        <v>206</v>
      </c>
      <c r="B25" s="71" t="s">
        <v>201</v>
      </c>
      <c r="C25" s="71">
        <v>10.0</v>
      </c>
      <c r="D25" s="71">
        <v>0.0</v>
      </c>
      <c r="E25" s="71">
        <v>10.0</v>
      </c>
      <c r="F25" s="72"/>
      <c r="G25" s="72"/>
    </row>
    <row r="26" ht="15.75" customHeight="1">
      <c r="A26" s="73" t="s">
        <v>207</v>
      </c>
      <c r="B26" s="73"/>
      <c r="C26" s="71">
        <f t="shared" ref="C26:E26" si="2">SUM(C13:C25)</f>
        <v>625</v>
      </c>
      <c r="D26" s="71">
        <f t="shared" si="2"/>
        <v>610</v>
      </c>
      <c r="E26" s="71">
        <f t="shared" si="2"/>
        <v>15</v>
      </c>
      <c r="F26" s="74">
        <f>C26</f>
        <v>625</v>
      </c>
      <c r="G26" s="9"/>
    </row>
    <row r="27" ht="15.75" customHeight="1">
      <c r="A27" s="75" t="s">
        <v>208</v>
      </c>
      <c r="B27" s="14"/>
      <c r="C27" s="14"/>
      <c r="D27" s="14"/>
      <c r="E27" s="9"/>
      <c r="F27" s="74">
        <f>D26</f>
        <v>610</v>
      </c>
      <c r="G27" s="9"/>
    </row>
    <row r="28" ht="15.75" customHeight="1">
      <c r="A28" s="75" t="s">
        <v>147</v>
      </c>
      <c r="B28" s="14"/>
      <c r="C28" s="14"/>
      <c r="D28" s="14"/>
      <c r="E28" s="9"/>
      <c r="F28" s="76">
        <f>F27/F26</f>
        <v>0.976</v>
      </c>
      <c r="G28" s="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G1"/>
    <mergeCell ref="A2:G2"/>
    <mergeCell ref="A3:G3"/>
    <mergeCell ref="A4:G4"/>
    <mergeCell ref="B5:G5"/>
    <mergeCell ref="A6:G6"/>
    <mergeCell ref="B7:G7"/>
    <mergeCell ref="G11:G12"/>
    <mergeCell ref="F26:G26"/>
    <mergeCell ref="A27:E27"/>
    <mergeCell ref="F27:G27"/>
    <mergeCell ref="A28:E28"/>
    <mergeCell ref="F28:G28"/>
    <mergeCell ref="A8:G8"/>
    <mergeCell ref="B9:G9"/>
    <mergeCell ref="A10:G10"/>
    <mergeCell ref="A11:A12"/>
    <mergeCell ref="B11:B12"/>
    <mergeCell ref="C11:E11"/>
    <mergeCell ref="F11:F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13.5"/>
    <col customWidth="1" min="3" max="3" width="12.63"/>
    <col customWidth="1" min="4" max="4" width="17.13"/>
    <col customWidth="1" min="5" max="5" width="12.63"/>
    <col customWidth="1" min="6" max="6" width="12.5"/>
  </cols>
  <sheetData>
    <row r="1" ht="15.75" customHeight="1">
      <c r="A1" s="48" t="s">
        <v>209</v>
      </c>
      <c r="F1" s="51"/>
      <c r="G1" s="51"/>
    </row>
    <row r="2" ht="10.5" customHeight="1">
      <c r="A2" s="51"/>
      <c r="F2" s="51"/>
      <c r="G2" s="51"/>
    </row>
    <row r="3" ht="15.75" customHeight="1">
      <c r="A3" s="77" t="s">
        <v>210</v>
      </c>
      <c r="C3" s="78">
        <v>3153205.0</v>
      </c>
      <c r="D3" s="79"/>
      <c r="F3" s="51"/>
      <c r="G3" s="51"/>
    </row>
    <row r="4" ht="15.75" customHeight="1">
      <c r="A4" s="77" t="s">
        <v>211</v>
      </c>
      <c r="C4" s="78">
        <v>459560.0</v>
      </c>
      <c r="D4" s="79"/>
      <c r="F4" s="51"/>
      <c r="G4" s="51"/>
    </row>
    <row r="5" ht="15.75" customHeight="1">
      <c r="A5" s="77" t="s">
        <v>212</v>
      </c>
      <c r="C5" s="78">
        <f>C3+C4</f>
        <v>3612765</v>
      </c>
      <c r="F5" s="51"/>
      <c r="G5" s="51"/>
    </row>
    <row r="6" ht="15.75" customHeight="1">
      <c r="A6" s="77" t="s">
        <v>213</v>
      </c>
      <c r="C6" s="78">
        <f>C5*0.6</f>
        <v>2167659</v>
      </c>
      <c r="F6" s="51"/>
      <c r="G6" s="51"/>
    </row>
    <row r="7" ht="15.75" customHeight="1">
      <c r="A7" s="80" t="s">
        <v>214</v>
      </c>
      <c r="B7" s="77"/>
      <c r="C7" s="78">
        <f>sum(E14:E35)</f>
        <v>885300</v>
      </c>
      <c r="F7" s="51"/>
      <c r="G7" s="51"/>
    </row>
    <row r="8" ht="15.75" customHeight="1">
      <c r="A8" s="81" t="s">
        <v>147</v>
      </c>
      <c r="B8" s="82"/>
      <c r="C8" s="83">
        <f>C7/C6</f>
        <v>0.4084129469</v>
      </c>
      <c r="D8" s="84"/>
      <c r="E8" s="84"/>
      <c r="F8" s="82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</row>
    <row r="9" ht="15.75" customHeight="1">
      <c r="A9" s="48"/>
      <c r="B9" s="48"/>
      <c r="C9" s="48"/>
      <c r="D9" s="24"/>
      <c r="E9" s="24"/>
      <c r="F9" s="51"/>
      <c r="G9" s="51"/>
    </row>
    <row r="10" ht="15.75" customHeight="1">
      <c r="A10" s="48"/>
      <c r="B10" s="48"/>
      <c r="C10" s="48"/>
      <c r="D10" s="24"/>
      <c r="E10" s="24"/>
      <c r="F10" s="51"/>
      <c r="G10" s="51"/>
    </row>
    <row r="11" ht="15.75" customHeight="1">
      <c r="A11" s="48" t="s">
        <v>215</v>
      </c>
      <c r="D11" s="64"/>
      <c r="E11" s="53"/>
      <c r="F11" s="51"/>
      <c r="G11" s="51"/>
    </row>
    <row r="12" ht="15.75" customHeight="1">
      <c r="A12" s="85" t="s">
        <v>216</v>
      </c>
      <c r="B12" s="86" t="s">
        <v>57</v>
      </c>
      <c r="C12" s="9"/>
      <c r="D12" s="86" t="s">
        <v>217</v>
      </c>
      <c r="E12" s="9"/>
      <c r="F12" s="87" t="s">
        <v>218</v>
      </c>
      <c r="G12" s="87" t="s">
        <v>219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</row>
    <row r="13" ht="33.75" customHeight="1">
      <c r="A13" s="19"/>
      <c r="B13" s="89" t="s">
        <v>220</v>
      </c>
      <c r="C13" s="89" t="s">
        <v>221</v>
      </c>
      <c r="D13" s="89" t="s">
        <v>222</v>
      </c>
      <c r="E13" s="89" t="s">
        <v>223</v>
      </c>
      <c r="F13" s="53"/>
      <c r="G13" s="53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</row>
    <row r="14" ht="15.75" customHeight="1">
      <c r="A14" s="90" t="s">
        <v>224</v>
      </c>
      <c r="B14" s="91">
        <v>2350.0</v>
      </c>
      <c r="C14" s="92" t="s">
        <v>225</v>
      </c>
      <c r="D14" s="93">
        <v>78.0</v>
      </c>
      <c r="E14" s="30">
        <f t="shared" ref="E14:E35" si="1">D14*B14</f>
        <v>183300</v>
      </c>
      <c r="F14" s="30">
        <v>90.0</v>
      </c>
      <c r="G14" s="69" t="s">
        <v>226</v>
      </c>
    </row>
    <row r="15" ht="15.75" customHeight="1">
      <c r="A15" s="90" t="s">
        <v>227</v>
      </c>
      <c r="B15" s="91">
        <v>4000.0</v>
      </c>
      <c r="C15" s="92" t="s">
        <v>225</v>
      </c>
      <c r="D15" s="93">
        <v>21.0</v>
      </c>
      <c r="E15" s="30">
        <f t="shared" si="1"/>
        <v>84000</v>
      </c>
      <c r="F15" s="30">
        <v>300.0</v>
      </c>
      <c r="G15" s="69" t="s">
        <v>228</v>
      </c>
    </row>
    <row r="16" ht="15.75" customHeight="1">
      <c r="A16" s="94" t="s">
        <v>229</v>
      </c>
      <c r="B16" s="93">
        <v>40.0</v>
      </c>
      <c r="C16" s="93" t="s">
        <v>225</v>
      </c>
      <c r="D16" s="93">
        <v>78.6</v>
      </c>
      <c r="E16" s="30">
        <f t="shared" si="1"/>
        <v>3144</v>
      </c>
      <c r="F16" s="30">
        <v>90.0</v>
      </c>
      <c r="G16" s="69" t="s">
        <v>226</v>
      </c>
    </row>
    <row r="17" ht="15.75" customHeight="1">
      <c r="A17" s="94" t="s">
        <v>230</v>
      </c>
      <c r="B17" s="93">
        <v>285.0</v>
      </c>
      <c r="C17" s="93" t="s">
        <v>225</v>
      </c>
      <c r="D17" s="93">
        <v>83.39999999999999</v>
      </c>
      <c r="E17" s="30">
        <f t="shared" si="1"/>
        <v>23769</v>
      </c>
      <c r="F17" s="30">
        <v>90.0</v>
      </c>
      <c r="G17" s="69" t="s">
        <v>226</v>
      </c>
    </row>
    <row r="18" ht="15.75" customHeight="1">
      <c r="A18" s="94" t="s">
        <v>231</v>
      </c>
      <c r="B18" s="92">
        <v>95.0</v>
      </c>
      <c r="C18" s="93" t="s">
        <v>225</v>
      </c>
      <c r="D18" s="93">
        <v>88.8</v>
      </c>
      <c r="E18" s="30">
        <f t="shared" si="1"/>
        <v>8436</v>
      </c>
      <c r="F18" s="30">
        <v>90.0</v>
      </c>
      <c r="G18" s="69" t="s">
        <v>226</v>
      </c>
    </row>
    <row r="19" ht="15.75" customHeight="1">
      <c r="A19" s="94" t="s">
        <v>232</v>
      </c>
      <c r="B19" s="92">
        <v>895.0</v>
      </c>
      <c r="C19" s="93" t="s">
        <v>225</v>
      </c>
      <c r="D19" s="93">
        <v>99.0</v>
      </c>
      <c r="E19" s="30">
        <f t="shared" si="1"/>
        <v>88605</v>
      </c>
      <c r="F19" s="30">
        <v>90.0</v>
      </c>
      <c r="G19" s="69" t="s">
        <v>226</v>
      </c>
    </row>
    <row r="20" ht="15.75" customHeight="1">
      <c r="A20" s="94" t="s">
        <v>233</v>
      </c>
      <c r="B20" s="91">
        <v>1150.0</v>
      </c>
      <c r="C20" s="93" t="s">
        <v>225</v>
      </c>
      <c r="D20" s="93">
        <v>31.2</v>
      </c>
      <c r="E20" s="30">
        <f t="shared" si="1"/>
        <v>35880</v>
      </c>
      <c r="F20" s="30">
        <v>150.0</v>
      </c>
      <c r="G20" s="69" t="s">
        <v>234</v>
      </c>
    </row>
    <row r="21" ht="15.75" customHeight="1">
      <c r="A21" s="90" t="s">
        <v>235</v>
      </c>
      <c r="B21" s="92">
        <v>35.0</v>
      </c>
      <c r="C21" s="92" t="s">
        <v>225</v>
      </c>
      <c r="D21" s="92">
        <v>210.0</v>
      </c>
      <c r="E21" s="30">
        <f t="shared" si="1"/>
        <v>7350</v>
      </c>
      <c r="F21" s="30">
        <v>350.0</v>
      </c>
      <c r="G21" s="69" t="s">
        <v>236</v>
      </c>
    </row>
    <row r="22" ht="15.75" customHeight="1">
      <c r="A22" s="95" t="s">
        <v>237</v>
      </c>
      <c r="B22" s="93">
        <v>80.0</v>
      </c>
      <c r="C22" s="93" t="s">
        <v>238</v>
      </c>
      <c r="D22" s="93">
        <v>127.8</v>
      </c>
      <c r="E22" s="30">
        <f t="shared" si="1"/>
        <v>10224</v>
      </c>
      <c r="F22" s="30">
        <v>350.0</v>
      </c>
      <c r="G22" s="69" t="s">
        <v>236</v>
      </c>
    </row>
    <row r="23" ht="15.75" customHeight="1">
      <c r="A23" s="94" t="s">
        <v>239</v>
      </c>
      <c r="B23" s="93">
        <v>12.0</v>
      </c>
      <c r="C23" s="93" t="s">
        <v>238</v>
      </c>
      <c r="D23" s="93">
        <v>66.0</v>
      </c>
      <c r="E23" s="30">
        <f t="shared" si="1"/>
        <v>792</v>
      </c>
      <c r="F23" s="30">
        <v>350.0</v>
      </c>
      <c r="G23" s="69" t="s">
        <v>236</v>
      </c>
    </row>
    <row r="24" ht="15.75" customHeight="1">
      <c r="A24" s="94" t="s">
        <v>240</v>
      </c>
      <c r="B24" s="93">
        <v>110.0</v>
      </c>
      <c r="C24" s="93" t="s">
        <v>238</v>
      </c>
      <c r="D24" s="93">
        <v>168.0</v>
      </c>
      <c r="E24" s="30">
        <f t="shared" si="1"/>
        <v>18480</v>
      </c>
      <c r="F24" s="30">
        <v>350.0</v>
      </c>
      <c r="G24" s="69" t="s">
        <v>236</v>
      </c>
    </row>
    <row r="25" ht="15.75" customHeight="1">
      <c r="A25" s="94" t="s">
        <v>241</v>
      </c>
      <c r="B25" s="96">
        <v>4.0</v>
      </c>
      <c r="C25" s="96" t="s">
        <v>238</v>
      </c>
      <c r="D25" s="96">
        <v>1113.0</v>
      </c>
      <c r="E25" s="30">
        <f t="shared" si="1"/>
        <v>4452</v>
      </c>
      <c r="F25" s="30">
        <v>350.0</v>
      </c>
      <c r="G25" s="97" t="s">
        <v>236</v>
      </c>
    </row>
    <row r="26" ht="15.75" customHeight="1">
      <c r="A26" s="94" t="s">
        <v>242</v>
      </c>
      <c r="B26" s="96">
        <v>1200.0</v>
      </c>
      <c r="C26" s="93" t="s">
        <v>225</v>
      </c>
      <c r="D26" s="93">
        <v>74.39999999999999</v>
      </c>
      <c r="E26" s="30">
        <f t="shared" si="1"/>
        <v>89280</v>
      </c>
      <c r="F26" s="30">
        <v>300.0</v>
      </c>
      <c r="G26" s="69" t="s">
        <v>243</v>
      </c>
    </row>
    <row r="27" ht="15.75" customHeight="1">
      <c r="A27" s="94" t="s">
        <v>244</v>
      </c>
      <c r="B27" s="93">
        <v>170.0</v>
      </c>
      <c r="C27" s="93" t="s">
        <v>225</v>
      </c>
      <c r="D27" s="93">
        <v>84.0</v>
      </c>
      <c r="E27" s="30">
        <f t="shared" si="1"/>
        <v>14280</v>
      </c>
      <c r="F27" s="30">
        <v>60.0</v>
      </c>
      <c r="G27" s="69" t="s">
        <v>245</v>
      </c>
    </row>
    <row r="28" ht="15.75" customHeight="1">
      <c r="A28" s="94" t="s">
        <v>246</v>
      </c>
      <c r="B28" s="96">
        <v>1950.0</v>
      </c>
      <c r="C28" s="93" t="s">
        <v>225</v>
      </c>
      <c r="D28" s="93">
        <v>66.0</v>
      </c>
      <c r="E28" s="30">
        <f t="shared" si="1"/>
        <v>128700</v>
      </c>
      <c r="F28" s="30">
        <v>60.0</v>
      </c>
      <c r="G28" s="69" t="s">
        <v>245</v>
      </c>
    </row>
    <row r="29" ht="15.75" customHeight="1">
      <c r="A29" s="94" t="s">
        <v>247</v>
      </c>
      <c r="B29" s="93">
        <v>130.0</v>
      </c>
      <c r="C29" s="93" t="s">
        <v>238</v>
      </c>
      <c r="D29" s="93">
        <v>174.0</v>
      </c>
      <c r="E29" s="30">
        <f t="shared" si="1"/>
        <v>22620</v>
      </c>
      <c r="F29" s="30">
        <v>50.0</v>
      </c>
      <c r="G29" s="69" t="s">
        <v>248</v>
      </c>
    </row>
    <row r="30" ht="15.75" customHeight="1">
      <c r="A30" s="94" t="s">
        <v>249</v>
      </c>
      <c r="B30" s="93">
        <v>245.0</v>
      </c>
      <c r="C30" s="93" t="s">
        <v>238</v>
      </c>
      <c r="D30" s="93">
        <v>84.0</v>
      </c>
      <c r="E30" s="30">
        <f t="shared" si="1"/>
        <v>20580</v>
      </c>
      <c r="F30" s="30">
        <v>25.0</v>
      </c>
      <c r="G30" s="69" t="s">
        <v>250</v>
      </c>
    </row>
    <row r="31" ht="15.75" customHeight="1">
      <c r="A31" s="94" t="s">
        <v>251</v>
      </c>
      <c r="B31" s="93">
        <v>14.0</v>
      </c>
      <c r="C31" s="93" t="s">
        <v>252</v>
      </c>
      <c r="D31" s="93">
        <v>420.0</v>
      </c>
      <c r="E31" s="30">
        <f t="shared" si="1"/>
        <v>5880</v>
      </c>
      <c r="F31" s="30">
        <v>25.0</v>
      </c>
      <c r="G31" s="69" t="s">
        <v>250</v>
      </c>
    </row>
    <row r="32" ht="15.75" customHeight="1">
      <c r="A32" s="94" t="s">
        <v>253</v>
      </c>
      <c r="B32" s="93">
        <v>11.0</v>
      </c>
      <c r="C32" s="93" t="s">
        <v>238</v>
      </c>
      <c r="D32" s="93">
        <v>48.0</v>
      </c>
      <c r="E32" s="30">
        <f t="shared" si="1"/>
        <v>528</v>
      </c>
      <c r="F32" s="30">
        <v>45.0</v>
      </c>
      <c r="G32" s="69" t="s">
        <v>254</v>
      </c>
    </row>
    <row r="33" ht="15.75" customHeight="1">
      <c r="A33" s="94" t="s">
        <v>255</v>
      </c>
      <c r="B33" s="96">
        <v>1500.0</v>
      </c>
      <c r="C33" s="93" t="s">
        <v>256</v>
      </c>
      <c r="D33" s="93">
        <v>78.0</v>
      </c>
      <c r="E33" s="30">
        <f t="shared" si="1"/>
        <v>117000</v>
      </c>
      <c r="F33" s="30">
        <v>45.0</v>
      </c>
      <c r="G33" s="69" t="s">
        <v>254</v>
      </c>
    </row>
    <row r="34" ht="15.75" customHeight="1">
      <c r="A34" s="94" t="s">
        <v>257</v>
      </c>
      <c r="B34" s="96">
        <v>1.0</v>
      </c>
      <c r="C34" s="96" t="s">
        <v>258</v>
      </c>
      <c r="D34" s="96">
        <v>15000.0</v>
      </c>
      <c r="E34" s="30">
        <f t="shared" si="1"/>
        <v>15000</v>
      </c>
      <c r="F34" s="30">
        <v>45.0</v>
      </c>
      <c r="G34" s="97" t="s">
        <v>254</v>
      </c>
    </row>
    <row r="35" ht="15.75" customHeight="1">
      <c r="A35" s="94" t="s">
        <v>259</v>
      </c>
      <c r="B35" s="96">
        <v>1.0</v>
      </c>
      <c r="C35" s="96" t="s">
        <v>258</v>
      </c>
      <c r="D35" s="96">
        <v>3000.0</v>
      </c>
      <c r="E35" s="30">
        <f t="shared" si="1"/>
        <v>3000</v>
      </c>
      <c r="F35" s="30">
        <v>45.0</v>
      </c>
      <c r="G35" s="97" t="s">
        <v>254</v>
      </c>
    </row>
    <row r="36" ht="10.5" customHeight="1">
      <c r="A36" s="64"/>
      <c r="B36" s="50"/>
      <c r="C36" s="50"/>
      <c r="D36" s="50"/>
      <c r="E36" s="50"/>
      <c r="F36" s="50"/>
      <c r="G36" s="5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E46" s="98"/>
    </row>
    <row r="47" ht="15.75" customHeight="1">
      <c r="E47" s="98"/>
    </row>
    <row r="48" ht="15.75" customHeight="1">
      <c r="E48" s="99"/>
    </row>
    <row r="49" ht="15.75" customHeight="1">
      <c r="E49" s="99"/>
    </row>
    <row r="50" ht="15.75" customHeight="1">
      <c r="E50" s="99"/>
    </row>
    <row r="51" ht="15.75" customHeight="1">
      <c r="E51" s="99"/>
    </row>
    <row r="52" ht="15.75" customHeight="1">
      <c r="E52" s="99"/>
    </row>
    <row r="53" ht="15.75" customHeight="1">
      <c r="E53" s="98"/>
    </row>
    <row r="54" ht="15.75" customHeight="1">
      <c r="E54" s="99"/>
    </row>
    <row r="55" ht="15.75" customHeight="1">
      <c r="E55" s="99"/>
    </row>
    <row r="56" ht="15.75" customHeight="1">
      <c r="E56" s="99"/>
    </row>
    <row r="57" ht="15.75" customHeight="1">
      <c r="E57" s="99"/>
    </row>
    <row r="58" ht="15.75" customHeight="1">
      <c r="E58" s="99"/>
    </row>
    <row r="59" ht="15.75" customHeight="1">
      <c r="E59" s="99"/>
    </row>
    <row r="60" ht="15.75" customHeight="1">
      <c r="E60" s="99"/>
    </row>
    <row r="61" ht="15.75" customHeight="1">
      <c r="E61" s="99"/>
    </row>
    <row r="62" ht="15.75" customHeight="1">
      <c r="E62" s="100"/>
    </row>
    <row r="63" ht="15.75" customHeight="1">
      <c r="E63" s="101"/>
    </row>
    <row r="64" ht="15.75" customHeight="1">
      <c r="E64" s="99"/>
    </row>
    <row r="65" ht="15.75" customHeight="1">
      <c r="E65" s="99"/>
    </row>
    <row r="66" ht="15.75" customHeight="1">
      <c r="E66" s="98"/>
    </row>
    <row r="67" ht="15.75" customHeight="1">
      <c r="E67" s="99"/>
    </row>
    <row r="68" ht="15.75" customHeight="1">
      <c r="E68" s="99"/>
    </row>
    <row r="69" ht="15.75" customHeight="1">
      <c r="E69" s="98"/>
    </row>
    <row r="70" ht="15.75" customHeight="1">
      <c r="E70" s="99"/>
    </row>
    <row r="71" ht="15.75" customHeight="1">
      <c r="E71" s="99"/>
    </row>
    <row r="72" ht="15.75" customHeight="1">
      <c r="E72" s="99"/>
    </row>
    <row r="73" ht="15.75" customHeight="1">
      <c r="E73" s="99"/>
    </row>
    <row r="74" ht="15.75" customHeight="1">
      <c r="E74" s="99"/>
    </row>
    <row r="75" ht="15.75" customHeight="1">
      <c r="E75" s="99"/>
    </row>
    <row r="76" ht="15.75" customHeight="1">
      <c r="E76" s="99"/>
    </row>
    <row r="77" ht="15.75" customHeight="1">
      <c r="E77" s="99"/>
    </row>
    <row r="78" ht="15.75" customHeight="1">
      <c r="E78" s="99"/>
    </row>
    <row r="79" ht="15.75" customHeight="1">
      <c r="E79" s="99"/>
    </row>
    <row r="80" ht="15.75" customHeight="1">
      <c r="E80" s="99"/>
    </row>
    <row r="81" ht="15.75" customHeight="1">
      <c r="E81" s="99"/>
    </row>
    <row r="82" ht="15.75" customHeight="1">
      <c r="E82" s="99"/>
    </row>
    <row r="83" ht="15.75" customHeight="1">
      <c r="E83" s="99"/>
    </row>
    <row r="84" ht="15.75" customHeight="1">
      <c r="E84" s="99"/>
    </row>
    <row r="85" ht="15.75" customHeight="1">
      <c r="E85" s="99"/>
    </row>
    <row r="86" ht="15.75" customHeight="1">
      <c r="E86" s="99"/>
    </row>
    <row r="87" ht="15.75" customHeight="1">
      <c r="E87" s="99"/>
    </row>
    <row r="88" ht="15.75" customHeight="1">
      <c r="E88" s="99"/>
    </row>
    <row r="89" ht="15.75" customHeight="1">
      <c r="E89" s="99"/>
    </row>
    <row r="90" ht="15.75" customHeight="1">
      <c r="E90" s="99"/>
    </row>
    <row r="91" ht="15.75" customHeight="1">
      <c r="E91" s="99"/>
    </row>
    <row r="92" ht="15.75" customHeight="1">
      <c r="E92" s="99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1:C11"/>
    <mergeCell ref="A12:A13"/>
    <mergeCell ref="B12:C12"/>
    <mergeCell ref="F12:F13"/>
    <mergeCell ref="G12:G13"/>
    <mergeCell ref="A36:G36"/>
    <mergeCell ref="A1:E1"/>
    <mergeCell ref="A2:E2"/>
    <mergeCell ref="A3:B3"/>
    <mergeCell ref="A4:B4"/>
    <mergeCell ref="A5:B5"/>
    <mergeCell ref="A6:B6"/>
    <mergeCell ref="D11:E11"/>
    <mergeCell ref="D12:E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75"/>
    <col customWidth="1" min="4" max="6" width="12.63"/>
    <col customWidth="1" min="8" max="8" width="24.13"/>
  </cols>
  <sheetData>
    <row r="1" ht="15.75" customHeight="1">
      <c r="A1" s="48" t="s">
        <v>260</v>
      </c>
      <c r="B1" s="48"/>
      <c r="C1" s="48"/>
      <c r="D1" s="48"/>
      <c r="E1" s="48"/>
      <c r="F1" s="48"/>
      <c r="G1" s="48"/>
      <c r="H1" s="48"/>
    </row>
    <row r="2" ht="15.75" customHeight="1">
      <c r="A2" s="48"/>
      <c r="B2" s="48"/>
      <c r="C2" s="48"/>
      <c r="D2" s="48"/>
      <c r="E2" s="48"/>
      <c r="F2" s="48"/>
      <c r="G2" s="48"/>
      <c r="H2" s="48"/>
    </row>
    <row r="3" ht="15.75" customHeight="1">
      <c r="A3" s="102" t="s">
        <v>210</v>
      </c>
      <c r="H3" s="78">
        <v>3153205.0</v>
      </c>
      <c r="I3" s="51"/>
    </row>
    <row r="4" ht="15.75" customHeight="1">
      <c r="A4" s="102" t="s">
        <v>211</v>
      </c>
      <c r="H4" s="78">
        <v>459560.0</v>
      </c>
      <c r="I4" s="51"/>
    </row>
    <row r="5" ht="15.75" customHeight="1">
      <c r="A5" s="102" t="s">
        <v>212</v>
      </c>
      <c r="H5" s="78">
        <f>H3+H4</f>
        <v>3612765</v>
      </c>
      <c r="I5" s="51"/>
    </row>
    <row r="6" ht="15.75" customHeight="1">
      <c r="A6" s="102" t="s">
        <v>213</v>
      </c>
      <c r="H6" s="78">
        <f>H5*0.6</f>
        <v>2167659</v>
      </c>
      <c r="I6" s="51"/>
    </row>
    <row r="7" ht="15.75" customHeight="1">
      <c r="A7" s="102" t="s">
        <v>261</v>
      </c>
      <c r="H7" s="78">
        <f>G21</f>
        <v>272742.065</v>
      </c>
    </row>
    <row r="8" ht="15.75" customHeight="1">
      <c r="A8" s="81" t="s">
        <v>147</v>
      </c>
      <c r="H8" s="103">
        <f>H7/H6</f>
        <v>0.125823326</v>
      </c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</row>
    <row r="9" ht="15.75" customHeight="1">
      <c r="A9" s="66" t="s">
        <v>216</v>
      </c>
      <c r="B9" s="104" t="s">
        <v>57</v>
      </c>
      <c r="C9" s="9"/>
      <c r="D9" s="104" t="s">
        <v>262</v>
      </c>
      <c r="E9" s="9"/>
      <c r="F9" s="66" t="s">
        <v>263</v>
      </c>
      <c r="G9" s="66" t="s">
        <v>264</v>
      </c>
      <c r="H9" s="66" t="s">
        <v>265</v>
      </c>
    </row>
    <row r="10" ht="15.75" customHeight="1">
      <c r="A10" s="19"/>
      <c r="B10" s="70" t="s">
        <v>220</v>
      </c>
      <c r="C10" s="70" t="s">
        <v>266</v>
      </c>
      <c r="D10" s="70" t="s">
        <v>267</v>
      </c>
      <c r="E10" s="70" t="s">
        <v>268</v>
      </c>
      <c r="F10" s="19"/>
      <c r="G10" s="19"/>
      <c r="H10" s="19"/>
    </row>
    <row r="11" ht="15.75" customHeight="1">
      <c r="A11" s="105" t="s">
        <v>196</v>
      </c>
      <c r="B11" s="30">
        <v>30.0</v>
      </c>
      <c r="C11" s="69" t="s">
        <v>269</v>
      </c>
      <c r="D11" s="30">
        <v>3400.0</v>
      </c>
      <c r="E11" s="30">
        <f t="shared" ref="E11:E20" si="1">D11*B11</f>
        <v>102000</v>
      </c>
      <c r="F11" s="106">
        <v>0.59</v>
      </c>
      <c r="G11" s="30">
        <f t="shared" ref="G11:G20" si="2">D11*F11*B11</f>
        <v>60180</v>
      </c>
      <c r="H11" s="69"/>
    </row>
    <row r="12" ht="15.75" customHeight="1">
      <c r="A12" s="105" t="s">
        <v>270</v>
      </c>
      <c r="B12" s="107">
        <v>6250.0</v>
      </c>
      <c r="C12" s="108" t="s">
        <v>182</v>
      </c>
      <c r="D12" s="107">
        <v>7.3</v>
      </c>
      <c r="E12" s="30">
        <f t="shared" si="1"/>
        <v>45625</v>
      </c>
      <c r="F12" s="109">
        <v>0.365</v>
      </c>
      <c r="G12" s="30">
        <f t="shared" si="2"/>
        <v>16653.125</v>
      </c>
      <c r="H12" s="110" t="s">
        <v>271</v>
      </c>
    </row>
    <row r="13" ht="15.75" customHeight="1">
      <c r="A13" s="105" t="s">
        <v>166</v>
      </c>
      <c r="B13" s="107">
        <v>257.0</v>
      </c>
      <c r="C13" s="108" t="s">
        <v>272</v>
      </c>
      <c r="D13" s="107">
        <v>144.0</v>
      </c>
      <c r="E13" s="30">
        <f t="shared" si="1"/>
        <v>37008</v>
      </c>
      <c r="F13" s="106">
        <v>0.13</v>
      </c>
      <c r="G13" s="30">
        <f t="shared" si="2"/>
        <v>4811.04</v>
      </c>
      <c r="H13" s="110" t="s">
        <v>271</v>
      </c>
    </row>
    <row r="14" ht="15.75" customHeight="1">
      <c r="A14" s="105" t="s">
        <v>273</v>
      </c>
      <c r="B14" s="107">
        <v>60.0</v>
      </c>
      <c r="C14" s="111" t="s">
        <v>274</v>
      </c>
      <c r="D14" s="107">
        <v>200.0</v>
      </c>
      <c r="E14" s="30">
        <f t="shared" si="1"/>
        <v>12000</v>
      </c>
      <c r="F14" s="106">
        <v>0.3</v>
      </c>
      <c r="G14" s="30">
        <f t="shared" si="2"/>
        <v>3600</v>
      </c>
      <c r="H14" s="110" t="s">
        <v>271</v>
      </c>
    </row>
    <row r="15" ht="15.75" customHeight="1">
      <c r="A15" s="105" t="s">
        <v>275</v>
      </c>
      <c r="B15" s="107">
        <f>550+1023</f>
        <v>1573</v>
      </c>
      <c r="C15" s="108" t="s">
        <v>272</v>
      </c>
      <c r="D15" s="107">
        <v>46.0</v>
      </c>
      <c r="E15" s="30">
        <f t="shared" si="1"/>
        <v>72358</v>
      </c>
      <c r="F15" s="106">
        <v>0.25</v>
      </c>
      <c r="G15" s="30">
        <f t="shared" si="2"/>
        <v>18089.5</v>
      </c>
      <c r="H15" s="110" t="s">
        <v>271</v>
      </c>
    </row>
    <row r="16" ht="15.75" customHeight="1">
      <c r="A16" s="105" t="s">
        <v>275</v>
      </c>
      <c r="B16" s="107">
        <v>1500.0</v>
      </c>
      <c r="C16" s="108" t="s">
        <v>272</v>
      </c>
      <c r="D16" s="107">
        <v>33.0</v>
      </c>
      <c r="E16" s="30">
        <f t="shared" si="1"/>
        <v>49500</v>
      </c>
      <c r="F16" s="106">
        <v>0.25</v>
      </c>
      <c r="G16" s="30">
        <f t="shared" si="2"/>
        <v>12375</v>
      </c>
      <c r="H16" s="110" t="s">
        <v>271</v>
      </c>
    </row>
    <row r="17" ht="15.75" customHeight="1">
      <c r="A17" s="105" t="s">
        <v>162</v>
      </c>
      <c r="B17" s="107">
        <v>225.0</v>
      </c>
      <c r="C17" s="108" t="s">
        <v>272</v>
      </c>
      <c r="D17" s="107">
        <v>11.5</v>
      </c>
      <c r="E17" s="30">
        <f t="shared" si="1"/>
        <v>2587.5</v>
      </c>
      <c r="F17" s="106">
        <v>0.4</v>
      </c>
      <c r="G17" s="30">
        <f t="shared" si="2"/>
        <v>1035</v>
      </c>
      <c r="H17" s="110" t="s">
        <v>276</v>
      </c>
    </row>
    <row r="18" ht="15.75" customHeight="1">
      <c r="A18" s="105" t="s">
        <v>277</v>
      </c>
      <c r="B18" s="30">
        <v>200.0</v>
      </c>
      <c r="C18" s="69" t="s">
        <v>272</v>
      </c>
      <c r="D18" s="31">
        <v>192.48</v>
      </c>
      <c r="E18" s="30">
        <f t="shared" si="1"/>
        <v>38496</v>
      </c>
      <c r="F18" s="106">
        <v>0.4</v>
      </c>
      <c r="G18" s="30">
        <f t="shared" si="2"/>
        <v>15398.4</v>
      </c>
      <c r="H18" s="28"/>
    </row>
    <row r="19" ht="15.75" customHeight="1">
      <c r="A19" s="105" t="s">
        <v>157</v>
      </c>
      <c r="B19" s="30">
        <v>3000.0</v>
      </c>
      <c r="C19" s="69" t="s">
        <v>182</v>
      </c>
      <c r="D19" s="30">
        <v>90.0</v>
      </c>
      <c r="E19" s="30">
        <f t="shared" si="1"/>
        <v>270000</v>
      </c>
      <c r="F19" s="106">
        <v>0.25</v>
      </c>
      <c r="G19" s="30">
        <f t="shared" si="2"/>
        <v>67500</v>
      </c>
      <c r="H19" s="28"/>
    </row>
    <row r="20" ht="15.75" customHeight="1">
      <c r="A20" s="105" t="s">
        <v>278</v>
      </c>
      <c r="B20" s="30">
        <v>1000.0</v>
      </c>
      <c r="C20" s="69" t="s">
        <v>225</v>
      </c>
      <c r="D20" s="31">
        <v>86.0</v>
      </c>
      <c r="E20" s="30">
        <f t="shared" si="1"/>
        <v>86000</v>
      </c>
      <c r="F20" s="106">
        <v>0.85</v>
      </c>
      <c r="G20" s="30">
        <f t="shared" si="2"/>
        <v>73100</v>
      </c>
      <c r="H20" s="28"/>
    </row>
    <row r="21" ht="15.75" customHeight="1">
      <c r="A21" s="112"/>
      <c r="B21" s="28"/>
      <c r="C21" s="28"/>
      <c r="D21" s="28"/>
      <c r="E21" s="30"/>
      <c r="F21" s="113"/>
      <c r="G21" s="30">
        <f>SUM(G11:G20)</f>
        <v>272742.065</v>
      </c>
      <c r="H21" s="6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B9:C9"/>
    <mergeCell ref="D9:E9"/>
    <mergeCell ref="F9:F10"/>
    <mergeCell ref="G9:G10"/>
    <mergeCell ref="H9:H10"/>
    <mergeCell ref="A3:G3"/>
    <mergeCell ref="A4:G4"/>
    <mergeCell ref="A5:G5"/>
    <mergeCell ref="A6:G6"/>
    <mergeCell ref="A7:G7"/>
    <mergeCell ref="A8:G8"/>
    <mergeCell ref="A9:A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6" width="12.63"/>
    <col customWidth="1" min="7" max="7" width="37.25"/>
  </cols>
  <sheetData>
    <row r="1" ht="15.75" customHeight="1">
      <c r="A1" s="114" t="s">
        <v>279</v>
      </c>
      <c r="B1" s="14"/>
      <c r="C1" s="14"/>
      <c r="D1" s="14"/>
      <c r="E1" s="14"/>
      <c r="F1" s="14"/>
      <c r="G1" s="9"/>
    </row>
    <row r="2" ht="9.0" customHeight="1">
      <c r="A2" s="64"/>
      <c r="B2" s="50"/>
      <c r="C2" s="50"/>
      <c r="D2" s="50"/>
      <c r="E2" s="50"/>
      <c r="F2" s="50"/>
      <c r="G2" s="50"/>
    </row>
    <row r="3" ht="15.75" customHeight="1">
      <c r="A3" s="115" t="s">
        <v>210</v>
      </c>
      <c r="B3" s="14"/>
      <c r="C3" s="14"/>
      <c r="D3" s="14"/>
      <c r="E3" s="14"/>
      <c r="F3" s="9"/>
      <c r="G3" s="116">
        <v>3153205.0</v>
      </c>
    </row>
    <row r="4" ht="15.75" customHeight="1">
      <c r="A4" s="115" t="s">
        <v>211</v>
      </c>
      <c r="B4" s="14"/>
      <c r="C4" s="14"/>
      <c r="D4" s="14"/>
      <c r="E4" s="14"/>
      <c r="F4" s="9"/>
      <c r="G4" s="116">
        <v>459560.0</v>
      </c>
    </row>
    <row r="5" ht="15.75" customHeight="1">
      <c r="A5" s="115" t="s">
        <v>212</v>
      </c>
      <c r="B5" s="14"/>
      <c r="C5" s="14"/>
      <c r="D5" s="14"/>
      <c r="E5" s="14"/>
      <c r="F5" s="9"/>
      <c r="G5" s="116">
        <f>G3+G4</f>
        <v>3612765</v>
      </c>
    </row>
    <row r="6" ht="15.75" customHeight="1">
      <c r="A6" s="117" t="s">
        <v>213</v>
      </c>
      <c r="B6" s="14"/>
      <c r="C6" s="14"/>
      <c r="D6" s="14"/>
      <c r="E6" s="14"/>
      <c r="F6" s="9"/>
      <c r="G6" s="116">
        <f>G5*0.6</f>
        <v>2167659</v>
      </c>
    </row>
    <row r="7" ht="15.75" customHeight="1">
      <c r="A7" s="117" t="s">
        <v>280</v>
      </c>
      <c r="B7" s="14"/>
      <c r="C7" s="14"/>
      <c r="D7" s="14"/>
      <c r="E7" s="14"/>
      <c r="F7" s="9"/>
      <c r="G7" s="116">
        <f>E13</f>
        <v>135000</v>
      </c>
    </row>
    <row r="8" ht="15.75" customHeight="1">
      <c r="A8" s="118" t="s">
        <v>281</v>
      </c>
      <c r="B8" s="14"/>
      <c r="C8" s="14"/>
      <c r="D8" s="14"/>
      <c r="E8" s="14"/>
      <c r="F8" s="9"/>
      <c r="G8" s="119">
        <f>G7/G6</f>
        <v>0.06227916845</v>
      </c>
    </row>
    <row r="9" ht="15.75" customHeight="1">
      <c r="A9" s="64"/>
      <c r="B9" s="50"/>
      <c r="C9" s="50"/>
      <c r="D9" s="50"/>
      <c r="E9" s="50"/>
      <c r="F9" s="50"/>
      <c r="G9" s="50"/>
    </row>
    <row r="10" ht="9.0" customHeight="1">
      <c r="A10" s="64"/>
      <c r="B10" s="50"/>
      <c r="C10" s="50"/>
      <c r="D10" s="50"/>
      <c r="E10" s="50"/>
      <c r="F10" s="50"/>
      <c r="G10" s="50"/>
    </row>
    <row r="11" ht="15.75" customHeight="1">
      <c r="A11" s="66" t="s">
        <v>282</v>
      </c>
      <c r="B11" s="68" t="s">
        <v>57</v>
      </c>
      <c r="C11" s="9"/>
      <c r="D11" s="68" t="s">
        <v>282</v>
      </c>
      <c r="E11" s="9"/>
      <c r="F11" s="67" t="s">
        <v>283</v>
      </c>
      <c r="G11" s="67" t="s">
        <v>284</v>
      </c>
    </row>
    <row r="12" ht="15.75" customHeight="1">
      <c r="A12" s="19"/>
      <c r="B12" s="69" t="s">
        <v>220</v>
      </c>
      <c r="C12" s="69" t="s">
        <v>285</v>
      </c>
      <c r="D12" s="69" t="s">
        <v>286</v>
      </c>
      <c r="E12" s="69" t="s">
        <v>287</v>
      </c>
      <c r="F12" s="53"/>
      <c r="G12" s="53"/>
    </row>
    <row r="13" ht="15.75" customHeight="1">
      <c r="A13" s="120" t="s">
        <v>288</v>
      </c>
      <c r="B13" s="121">
        <v>30000.0</v>
      </c>
      <c r="C13" s="121" t="s">
        <v>289</v>
      </c>
      <c r="D13" s="31">
        <v>4.5</v>
      </c>
      <c r="E13" s="122">
        <f>D13*B13</f>
        <v>135000</v>
      </c>
      <c r="F13" s="28" t="s">
        <v>290</v>
      </c>
      <c r="G13" s="28" t="s">
        <v>291</v>
      </c>
    </row>
    <row r="14" ht="15.75" customHeight="1">
      <c r="A14" s="112"/>
      <c r="B14" s="28"/>
      <c r="C14" s="28"/>
      <c r="D14" s="28"/>
      <c r="E14" s="28"/>
      <c r="F14" s="28"/>
      <c r="G14" s="28"/>
    </row>
    <row r="15" ht="15.75" customHeight="1">
      <c r="A15" s="54"/>
      <c r="B15" s="50"/>
      <c r="C15" s="50"/>
      <c r="D15" s="50"/>
      <c r="E15" s="50"/>
      <c r="F15" s="50"/>
      <c r="G15" s="5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G1"/>
    <mergeCell ref="A2:G2"/>
    <mergeCell ref="A3:F3"/>
    <mergeCell ref="A4:F4"/>
    <mergeCell ref="A5:F5"/>
    <mergeCell ref="A6:F6"/>
    <mergeCell ref="A7:F7"/>
    <mergeCell ref="G11:G12"/>
    <mergeCell ref="A15:G15"/>
    <mergeCell ref="A8:F8"/>
    <mergeCell ref="A9:G9"/>
    <mergeCell ref="A10:G10"/>
    <mergeCell ref="A11:A12"/>
    <mergeCell ref="B11:C11"/>
    <mergeCell ref="D11:E11"/>
    <mergeCell ref="F11:F1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3" t="s">
        <v>292</v>
      </c>
      <c r="B1" s="14"/>
      <c r="C1" s="14"/>
      <c r="D1" s="14"/>
      <c r="E1" s="14"/>
      <c r="F1" s="14"/>
      <c r="G1" s="14"/>
      <c r="H1" s="14"/>
      <c r="I1" s="14"/>
      <c r="J1" s="9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ht="9.0" customHeight="1">
      <c r="A2" s="125"/>
      <c r="B2" s="50"/>
      <c r="C2" s="50"/>
      <c r="D2" s="50"/>
      <c r="E2" s="50"/>
      <c r="F2" s="50"/>
      <c r="G2" s="50"/>
      <c r="H2" s="50"/>
      <c r="I2" s="50"/>
      <c r="J2" s="50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 ht="15.75" customHeight="1">
      <c r="A3" s="54" t="s">
        <v>293</v>
      </c>
      <c r="B3" s="50"/>
      <c r="C3" s="50"/>
      <c r="D3" s="50"/>
      <c r="E3" s="50"/>
      <c r="F3" s="50"/>
      <c r="G3" s="50"/>
      <c r="H3" s="53"/>
      <c r="I3" s="126">
        <v>604150.0</v>
      </c>
      <c r="J3" s="53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</row>
    <row r="4" ht="9.0" customHeight="1">
      <c r="A4" s="125"/>
      <c r="B4" s="50"/>
      <c r="C4" s="50"/>
      <c r="D4" s="50"/>
      <c r="E4" s="50"/>
      <c r="F4" s="50"/>
      <c r="G4" s="50"/>
      <c r="H4" s="50"/>
      <c r="I4" s="50"/>
      <c r="J4" s="50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 ht="15.75" customHeight="1">
      <c r="A5" s="127" t="s">
        <v>294</v>
      </c>
      <c r="B5" s="128" t="s">
        <v>295</v>
      </c>
      <c r="C5" s="129" t="s">
        <v>57</v>
      </c>
      <c r="D5" s="53"/>
      <c r="E5" s="129" t="s">
        <v>296</v>
      </c>
      <c r="F5" s="53"/>
      <c r="G5" s="128" t="s">
        <v>297</v>
      </c>
      <c r="H5" s="128" t="s">
        <v>298</v>
      </c>
      <c r="I5" s="128" t="s">
        <v>299</v>
      </c>
      <c r="J5" s="128" t="s">
        <v>265</v>
      </c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 ht="63.75" customHeight="1">
      <c r="A6" s="19"/>
      <c r="B6" s="53"/>
      <c r="C6" s="69" t="s">
        <v>220</v>
      </c>
      <c r="D6" s="69" t="s">
        <v>266</v>
      </c>
      <c r="E6" s="69" t="s">
        <v>267</v>
      </c>
      <c r="F6" s="69" t="s">
        <v>287</v>
      </c>
      <c r="G6" s="53"/>
      <c r="H6" s="53"/>
      <c r="I6" s="53"/>
      <c r="J6" s="53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 ht="15.75" customHeight="1">
      <c r="A7" s="69" t="s">
        <v>300</v>
      </c>
      <c r="B7" s="69" t="s">
        <v>301</v>
      </c>
      <c r="C7" s="110">
        <v>225.0</v>
      </c>
      <c r="D7" s="69" t="s">
        <v>272</v>
      </c>
      <c r="E7" s="31">
        <v>11.5</v>
      </c>
      <c r="F7" s="69">
        <f t="shared" ref="F7:F10" si="1">E7*C7</f>
        <v>2587.5</v>
      </c>
      <c r="G7" s="130">
        <v>1.0</v>
      </c>
      <c r="H7" s="69">
        <f t="shared" ref="H7:H10" si="2">G7*F7</f>
        <v>2587.5</v>
      </c>
      <c r="I7" s="69" t="s">
        <v>302</v>
      </c>
      <c r="J7" s="69" t="s">
        <v>303</v>
      </c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ht="15.75" customHeight="1">
      <c r="A8" s="69" t="s">
        <v>304</v>
      </c>
      <c r="B8" s="69" t="s">
        <v>301</v>
      </c>
      <c r="C8" s="69">
        <v>3700.0</v>
      </c>
      <c r="D8" s="69" t="s">
        <v>272</v>
      </c>
      <c r="E8" s="31">
        <v>89.0</v>
      </c>
      <c r="F8" s="69">
        <f t="shared" si="1"/>
        <v>329300</v>
      </c>
      <c r="G8" s="130">
        <v>1.0</v>
      </c>
      <c r="H8" s="69">
        <f t="shared" si="2"/>
        <v>329300</v>
      </c>
      <c r="I8" s="29" t="s">
        <v>305</v>
      </c>
      <c r="J8" s="69" t="s">
        <v>303</v>
      </c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ht="15.75" customHeight="1">
      <c r="A9" s="69" t="s">
        <v>306</v>
      </c>
      <c r="B9" s="69" t="s">
        <v>307</v>
      </c>
      <c r="C9" s="110">
        <v>1120.0</v>
      </c>
      <c r="D9" s="69" t="s">
        <v>272</v>
      </c>
      <c r="E9" s="31">
        <v>40.25</v>
      </c>
      <c r="F9" s="69">
        <f t="shared" si="1"/>
        <v>45080</v>
      </c>
      <c r="G9" s="130">
        <v>1.0</v>
      </c>
      <c r="H9" s="69">
        <f t="shared" si="2"/>
        <v>45080</v>
      </c>
      <c r="I9" s="29" t="s">
        <v>305</v>
      </c>
      <c r="J9" s="69" t="s">
        <v>303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ht="15.75" customHeight="1">
      <c r="A10" s="69" t="s">
        <v>306</v>
      </c>
      <c r="B10" s="69" t="s">
        <v>308</v>
      </c>
      <c r="C10" s="69">
        <v>800.0</v>
      </c>
      <c r="D10" s="69" t="s">
        <v>272</v>
      </c>
      <c r="E10" s="113">
        <f>466/32</f>
        <v>14.5625</v>
      </c>
      <c r="F10" s="69">
        <f t="shared" si="1"/>
        <v>11650</v>
      </c>
      <c r="G10" s="130">
        <v>1.0</v>
      </c>
      <c r="H10" s="69">
        <f t="shared" si="2"/>
        <v>11650</v>
      </c>
      <c r="I10" s="28" t="s">
        <v>309</v>
      </c>
      <c r="J10" s="69" t="s">
        <v>303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 ht="15.75" customHeight="1">
      <c r="A11" s="54" t="s">
        <v>310</v>
      </c>
      <c r="B11" s="50"/>
      <c r="C11" s="50"/>
      <c r="D11" s="50"/>
      <c r="E11" s="50"/>
      <c r="F11" s="50"/>
      <c r="G11" s="50"/>
      <c r="H11" s="53"/>
      <c r="I11" s="129">
        <f>H7+H8+H9+H10</f>
        <v>388617.5</v>
      </c>
      <c r="J11" s="53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 ht="15.75" customHeight="1">
      <c r="A12" s="54" t="s">
        <v>147</v>
      </c>
      <c r="B12" s="50"/>
      <c r="C12" s="50"/>
      <c r="D12" s="50"/>
      <c r="E12" s="50"/>
      <c r="F12" s="50"/>
      <c r="G12" s="50"/>
      <c r="H12" s="53"/>
      <c r="I12" s="131">
        <f>sum(H7:H10)/sum(F7:F10)</f>
        <v>1</v>
      </c>
      <c r="J12" s="53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 ht="15.75" customHeight="1">
      <c r="A13" s="124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 ht="15.75" customHeight="1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 ht="15.75" customHeight="1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ht="15.75" customHeight="1">
      <c r="A16" s="124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 ht="15.75" customHeight="1">
      <c r="A17" s="124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 ht="15.75" customHeight="1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</row>
    <row r="19" ht="15.75" customHeight="1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 ht="15.75" customHeight="1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</row>
    <row r="21" ht="15.75" customHeight="1">
      <c r="A21" s="124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</row>
    <row r="22" ht="15.75" customHeight="1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</row>
    <row r="23" ht="15.75" customHeight="1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</row>
    <row r="24" ht="15.75" customHeight="1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 ht="15.75" customHeight="1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</row>
    <row r="26" ht="15.75" customHeight="1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15.75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</row>
    <row r="28" ht="15.75" customHeight="1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 ht="15.75" customHeight="1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 ht="15.75" customHeight="1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 ht="15.75" customHeight="1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</row>
    <row r="32" ht="15.75" customHeight="1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</row>
    <row r="33" ht="15.75" customHeight="1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 ht="15.75" customHeight="1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ht="15.75" customHeight="1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</row>
    <row r="36" ht="15.75" customHeight="1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 ht="15.75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 ht="15.75" customHeight="1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 ht="15.75" customHeight="1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ht="15.7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ht="15.75" customHeight="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ht="15.75" customHeight="1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ht="15.75" customHeight="1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ht="15.75" customHeight="1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ht="15.75" customHeight="1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ht="15.75" customHeight="1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ht="15.75" customHeight="1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 ht="15.75" customHeight="1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 ht="15.75" customHeight="1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 ht="15.75" customHeight="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ht="15.75" customHeight="1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ht="15.75" customHeight="1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ht="15.75" customHeight="1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ht="15.75" customHeight="1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ht="15.75" customHeight="1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ht="15.75" customHeight="1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ht="15.75" customHeight="1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 ht="15.75" customHeight="1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 ht="15.75" customHeight="1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 ht="15.75" customHeight="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ht="15.75" customHeight="1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 ht="15.75" customHeight="1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 ht="15.75" customHeight="1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 ht="15.75" customHeight="1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 ht="15.75" customHeight="1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 ht="15.75" customHeight="1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 ht="15.75" customHeigh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ht="15.75" customHeight="1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ht="15.75" customHeight="1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ht="15.75" customHeight="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ht="15.75" customHeight="1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ht="15.75" customHeight="1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ht="15.75" customHeight="1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ht="15.75" customHeight="1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 ht="15.75" customHeight="1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 ht="15.75" customHeight="1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 ht="15.75" customHeight="1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ht="15.75" customHeight="1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 ht="15.75" customHeight="1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 ht="15.75" customHeight="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 ht="15.75" customHeight="1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 ht="15.75" customHeight="1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ht="15.75" customHeight="1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 ht="15.75" customHeight="1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 ht="15.75" customHeight="1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ht="15.75" customHeight="1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ht="15.75" customHeight="1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 ht="15.75" customHeight="1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 ht="15.75" customHeight="1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ht="15.75" customHeight="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 ht="15.75" customHeight="1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ht="15.75" customHeight="1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 ht="15.75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 ht="15.75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ht="15.75" customHeight="1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 ht="15.75" customHeight="1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 ht="15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ht="15.75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 ht="15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 ht="15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 ht="15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 ht="15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 ht="15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</row>
    <row r="105" ht="15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</row>
    <row r="106" ht="15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</row>
    <row r="107" ht="15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 ht="15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</row>
    <row r="109" ht="15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</row>
    <row r="110" ht="15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 ht="15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</row>
    <row r="112" ht="15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 ht="15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</row>
    <row r="114" ht="15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</row>
    <row r="115" ht="15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</row>
    <row r="116" ht="15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</row>
    <row r="117" ht="15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</row>
    <row r="118" ht="15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 ht="15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 ht="15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</row>
    <row r="122" ht="15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</row>
    <row r="123" ht="15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</row>
    <row r="124" ht="15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</row>
    <row r="125" ht="15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</row>
    <row r="126" ht="15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</row>
    <row r="127" ht="15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</row>
    <row r="128" ht="15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</row>
    <row r="129" ht="15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</row>
    <row r="130" ht="15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</row>
    <row r="131" ht="15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</row>
    <row r="132" ht="15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</row>
    <row r="133" ht="15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</row>
    <row r="134" ht="15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</row>
    <row r="135" ht="15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</row>
    <row r="136" ht="15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</row>
    <row r="137" ht="15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</row>
    <row r="138" ht="15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</row>
    <row r="139" ht="15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</row>
    <row r="140" ht="15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</row>
    <row r="141" ht="15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</row>
    <row r="143" ht="15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</row>
    <row r="144" ht="15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</row>
    <row r="145" ht="15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</row>
    <row r="146" ht="15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</row>
    <row r="147" ht="15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</row>
    <row r="148" ht="15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</row>
    <row r="149" ht="15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</row>
    <row r="150" ht="15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</row>
    <row r="151" ht="15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</row>
    <row r="152" ht="15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</row>
    <row r="153" ht="15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</row>
    <row r="154" ht="15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</row>
    <row r="155" ht="15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</row>
    <row r="156" ht="15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</row>
    <row r="157" ht="15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</row>
    <row r="158" ht="15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</row>
    <row r="159" ht="15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</row>
    <row r="160" ht="15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</row>
    <row r="161" ht="15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</row>
    <row r="162" ht="15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</row>
    <row r="164" ht="15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</row>
    <row r="165" ht="15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</row>
    <row r="166" ht="15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</row>
    <row r="167" ht="15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</row>
    <row r="168" ht="15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 ht="15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 ht="15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 ht="15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 ht="15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C5:D5"/>
    <mergeCell ref="E5:F5"/>
    <mergeCell ref="G5:G6"/>
    <mergeCell ref="H5:H6"/>
    <mergeCell ref="I5:I6"/>
    <mergeCell ref="J5:J6"/>
    <mergeCell ref="A11:H11"/>
    <mergeCell ref="I11:J11"/>
    <mergeCell ref="A12:H12"/>
    <mergeCell ref="I12:J12"/>
    <mergeCell ref="A1:J1"/>
    <mergeCell ref="A2:J2"/>
    <mergeCell ref="A3:H3"/>
    <mergeCell ref="I3:J3"/>
    <mergeCell ref="A4:J4"/>
    <mergeCell ref="A5:A6"/>
    <mergeCell ref="B5:B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6.13"/>
  </cols>
  <sheetData>
    <row r="1" ht="15.75" customHeight="1">
      <c r="A1" s="132" t="s">
        <v>311</v>
      </c>
      <c r="B1" s="14"/>
      <c r="C1" s="14"/>
      <c r="D1" s="14"/>
      <c r="E1" s="14"/>
      <c r="F1" s="14"/>
      <c r="G1" s="9"/>
    </row>
    <row r="2" ht="15.75" customHeight="1">
      <c r="A2" s="133" t="s">
        <v>7</v>
      </c>
      <c r="B2" s="89" t="s">
        <v>312</v>
      </c>
      <c r="C2" s="89" t="s">
        <v>313</v>
      </c>
      <c r="D2" s="89" t="s">
        <v>314</v>
      </c>
      <c r="E2" s="89" t="s">
        <v>315</v>
      </c>
      <c r="F2" s="89" t="s">
        <v>316</v>
      </c>
      <c r="G2" s="89" t="s">
        <v>265</v>
      </c>
    </row>
    <row r="3" ht="15.75" customHeight="1">
      <c r="A3" s="127" t="s">
        <v>317</v>
      </c>
      <c r="B3" s="69" t="s">
        <v>318</v>
      </c>
      <c r="C3" s="134" t="s">
        <v>106</v>
      </c>
      <c r="D3" s="134">
        <v>1.0</v>
      </c>
      <c r="E3" s="134">
        <v>1500.0</v>
      </c>
      <c r="F3" s="134">
        <f t="shared" ref="F3:F18" si="1">E3*D3</f>
        <v>1500</v>
      </c>
      <c r="G3" s="134" t="s">
        <v>319</v>
      </c>
    </row>
    <row r="4" ht="15.75" customHeight="1">
      <c r="A4" s="19"/>
      <c r="B4" s="69" t="s">
        <v>320</v>
      </c>
      <c r="C4" s="134" t="s">
        <v>106</v>
      </c>
      <c r="D4" s="134">
        <v>1.0</v>
      </c>
      <c r="E4" s="134">
        <v>5000.0</v>
      </c>
      <c r="F4" s="134">
        <f t="shared" si="1"/>
        <v>5000</v>
      </c>
      <c r="G4" s="134" t="s">
        <v>319</v>
      </c>
    </row>
    <row r="5" ht="15.75" customHeight="1">
      <c r="A5" s="127" t="s">
        <v>321</v>
      </c>
      <c r="B5" s="69" t="s">
        <v>320</v>
      </c>
      <c r="C5" s="134" t="s">
        <v>106</v>
      </c>
      <c r="D5" s="134">
        <v>1.0</v>
      </c>
      <c r="E5" s="134">
        <v>1500.0</v>
      </c>
      <c r="F5" s="134">
        <f t="shared" si="1"/>
        <v>1500</v>
      </c>
      <c r="G5" s="134" t="s">
        <v>319</v>
      </c>
    </row>
    <row r="6" ht="15.75" customHeight="1">
      <c r="A6" s="19"/>
      <c r="B6" s="69" t="s">
        <v>318</v>
      </c>
      <c r="C6" s="134" t="s">
        <v>106</v>
      </c>
      <c r="D6" s="134">
        <v>1.0</v>
      </c>
      <c r="E6" s="134">
        <v>5000.0</v>
      </c>
      <c r="F6" s="134">
        <f t="shared" si="1"/>
        <v>5000</v>
      </c>
      <c r="G6" s="134" t="s">
        <v>319</v>
      </c>
    </row>
    <row r="7" ht="15.75" customHeight="1">
      <c r="A7" s="135" t="s">
        <v>322</v>
      </c>
      <c r="B7" s="69" t="s">
        <v>320</v>
      </c>
      <c r="C7" s="69" t="s">
        <v>22</v>
      </c>
      <c r="D7" s="69">
        <v>3.0</v>
      </c>
      <c r="E7" s="136">
        <v>8900.0</v>
      </c>
      <c r="F7" s="134">
        <f t="shared" si="1"/>
        <v>26700</v>
      </c>
      <c r="G7" s="69" t="s">
        <v>323</v>
      </c>
    </row>
    <row r="8" ht="15.75" customHeight="1">
      <c r="A8" s="43"/>
      <c r="B8" s="69" t="s">
        <v>320</v>
      </c>
      <c r="C8" s="69" t="s">
        <v>22</v>
      </c>
      <c r="D8" s="69">
        <v>19.0</v>
      </c>
      <c r="E8" s="136">
        <v>5560.0</v>
      </c>
      <c r="F8" s="134">
        <f t="shared" si="1"/>
        <v>105640</v>
      </c>
      <c r="G8" s="69" t="s">
        <v>323</v>
      </c>
    </row>
    <row r="9" ht="15.75" customHeight="1">
      <c r="A9" s="43"/>
      <c r="B9" s="69" t="s">
        <v>320</v>
      </c>
      <c r="C9" s="69" t="s">
        <v>22</v>
      </c>
      <c r="D9" s="69">
        <v>6.0</v>
      </c>
      <c r="E9" s="136">
        <v>17100.0</v>
      </c>
      <c r="F9" s="134">
        <f t="shared" si="1"/>
        <v>102600</v>
      </c>
      <c r="G9" s="69" t="s">
        <v>323</v>
      </c>
    </row>
    <row r="10" ht="15.75" customHeight="1">
      <c r="A10" s="43"/>
      <c r="B10" s="69" t="s">
        <v>320</v>
      </c>
      <c r="C10" s="69" t="s">
        <v>22</v>
      </c>
      <c r="D10" s="69">
        <v>1.0</v>
      </c>
      <c r="E10" s="136">
        <v>17900.0</v>
      </c>
      <c r="F10" s="134">
        <f t="shared" si="1"/>
        <v>17900</v>
      </c>
      <c r="G10" s="69" t="s">
        <v>323</v>
      </c>
    </row>
    <row r="11" ht="15.75" customHeight="1">
      <c r="A11" s="43"/>
      <c r="B11" s="69" t="s">
        <v>320</v>
      </c>
      <c r="C11" s="69" t="s">
        <v>22</v>
      </c>
      <c r="D11" s="69">
        <v>1.0</v>
      </c>
      <c r="E11" s="136">
        <v>18800.0</v>
      </c>
      <c r="F11" s="134">
        <f t="shared" si="1"/>
        <v>18800</v>
      </c>
      <c r="G11" s="69" t="s">
        <v>323</v>
      </c>
    </row>
    <row r="12" ht="15.75" customHeight="1">
      <c r="A12" s="43"/>
      <c r="B12" s="69" t="s">
        <v>324</v>
      </c>
      <c r="C12" s="69" t="s">
        <v>22</v>
      </c>
      <c r="D12" s="69">
        <v>9.0</v>
      </c>
      <c r="E12" s="136">
        <v>2560.0</v>
      </c>
      <c r="F12" s="134">
        <f t="shared" si="1"/>
        <v>23040</v>
      </c>
      <c r="G12" s="69" t="s">
        <v>323</v>
      </c>
    </row>
    <row r="13" ht="15.75" customHeight="1">
      <c r="A13" s="43"/>
      <c r="B13" s="69" t="s">
        <v>324</v>
      </c>
      <c r="C13" s="69" t="s">
        <v>22</v>
      </c>
      <c r="D13" s="69">
        <v>26.0</v>
      </c>
      <c r="E13" s="136">
        <v>3700.0</v>
      </c>
      <c r="F13" s="137">
        <f t="shared" si="1"/>
        <v>96200</v>
      </c>
      <c r="G13" s="69" t="s">
        <v>323</v>
      </c>
    </row>
    <row r="14" ht="15.75" customHeight="1">
      <c r="A14" s="43"/>
      <c r="B14" s="69" t="s">
        <v>318</v>
      </c>
      <c r="C14" s="69" t="s">
        <v>22</v>
      </c>
      <c r="D14" s="69">
        <v>5.0</v>
      </c>
      <c r="E14" s="136">
        <v>4400.0</v>
      </c>
      <c r="F14" s="134">
        <f t="shared" si="1"/>
        <v>22000</v>
      </c>
      <c r="G14" s="69" t="s">
        <v>323</v>
      </c>
    </row>
    <row r="15" ht="15.75" customHeight="1">
      <c r="A15" s="43"/>
      <c r="B15" s="69" t="s">
        <v>325</v>
      </c>
      <c r="C15" s="69" t="s">
        <v>22</v>
      </c>
      <c r="D15" s="69">
        <f>6+1+1</f>
        <v>8</v>
      </c>
      <c r="E15" s="138"/>
      <c r="F15" s="134">
        <f t="shared" si="1"/>
        <v>0</v>
      </c>
      <c r="G15" s="69" t="s">
        <v>323</v>
      </c>
    </row>
    <row r="16" ht="15.75" customHeight="1">
      <c r="A16" s="43"/>
      <c r="B16" s="69" t="s">
        <v>326</v>
      </c>
      <c r="C16" s="69" t="s">
        <v>22</v>
      </c>
      <c r="D16" s="69">
        <v>9.0</v>
      </c>
      <c r="E16" s="138"/>
      <c r="F16" s="134">
        <f t="shared" si="1"/>
        <v>0</v>
      </c>
      <c r="G16" s="69" t="s">
        <v>323</v>
      </c>
    </row>
    <row r="17" ht="15.75" customHeight="1">
      <c r="A17" s="19"/>
      <c r="B17" s="69" t="s">
        <v>327</v>
      </c>
      <c r="C17" s="69" t="s">
        <v>22</v>
      </c>
      <c r="D17" s="69">
        <v>2.0</v>
      </c>
      <c r="E17" s="69">
        <v>36250.0</v>
      </c>
      <c r="F17" s="134">
        <f t="shared" si="1"/>
        <v>72500</v>
      </c>
      <c r="G17" s="28"/>
    </row>
    <row r="18" ht="15.75" customHeight="1">
      <c r="A18" s="112"/>
      <c r="B18" s="69" t="s">
        <v>328</v>
      </c>
      <c r="C18" s="69" t="s">
        <v>106</v>
      </c>
      <c r="D18" s="69">
        <v>2.0</v>
      </c>
      <c r="E18" s="69">
        <v>2079.0</v>
      </c>
      <c r="F18" s="134">
        <f t="shared" si="1"/>
        <v>4158</v>
      </c>
      <c r="G18" s="28"/>
    </row>
    <row r="19" ht="15.75" customHeight="1">
      <c r="A19" s="139" t="s">
        <v>329</v>
      </c>
      <c r="B19" s="50"/>
      <c r="C19" s="50"/>
      <c r="D19" s="50"/>
      <c r="E19" s="53"/>
      <c r="F19" s="69">
        <f>SUM(F3:F18)</f>
        <v>502538</v>
      </c>
      <c r="G19" s="28"/>
    </row>
    <row r="20" ht="15.75" customHeight="1">
      <c r="A20" s="139" t="s">
        <v>330</v>
      </c>
      <c r="B20" s="50"/>
      <c r="C20" s="50"/>
      <c r="D20" s="50"/>
      <c r="E20" s="53"/>
      <c r="F20" s="69">
        <f>sum(F7:F17)</f>
        <v>485380</v>
      </c>
      <c r="G20" s="28"/>
    </row>
    <row r="21" ht="15.75" customHeight="1">
      <c r="A21" s="139" t="s">
        <v>331</v>
      </c>
      <c r="B21" s="50"/>
      <c r="C21" s="50"/>
      <c r="D21" s="50"/>
      <c r="E21" s="53"/>
      <c r="F21" s="140">
        <f>F20/F19</f>
        <v>0.9658573083</v>
      </c>
      <c r="G21" s="2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3:A4"/>
    <mergeCell ref="A5:A6"/>
    <mergeCell ref="A7:A17"/>
    <mergeCell ref="A19:E19"/>
    <mergeCell ref="A20:E20"/>
    <mergeCell ref="A21:E2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6" width="12.63"/>
  </cols>
  <sheetData>
    <row r="1" ht="22.5" customHeight="1">
      <c r="A1" s="141" t="s">
        <v>332</v>
      </c>
      <c r="B1" s="14"/>
      <c r="C1" s="9"/>
    </row>
    <row r="2" ht="21.75" customHeight="1">
      <c r="A2" s="142" t="s">
        <v>333</v>
      </c>
      <c r="B2" s="142" t="s">
        <v>334</v>
      </c>
      <c r="C2" s="142" t="s">
        <v>7</v>
      </c>
      <c r="D2" s="24" t="s">
        <v>335</v>
      </c>
    </row>
    <row r="3" ht="21.0" customHeight="1">
      <c r="A3" s="15" t="s">
        <v>336</v>
      </c>
      <c r="B3" s="143"/>
      <c r="C3" s="143"/>
    </row>
    <row r="4" ht="21.0" customHeight="1">
      <c r="A4" s="15" t="s">
        <v>337</v>
      </c>
      <c r="B4" s="143"/>
      <c r="C4" s="143"/>
    </row>
    <row r="5" ht="21.0" customHeight="1">
      <c r="A5" s="15" t="s">
        <v>338</v>
      </c>
      <c r="B5" s="15" t="s">
        <v>106</v>
      </c>
      <c r="C5" s="143"/>
    </row>
    <row r="6" ht="18.75" customHeight="1">
      <c r="A6" s="15" t="s">
        <v>110</v>
      </c>
      <c r="B6" s="143"/>
      <c r="C6" s="143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22.0"/>
  </cols>
  <sheetData>
    <row r="1" ht="15.75" customHeight="1">
      <c r="A1" s="34" t="s">
        <v>339</v>
      </c>
      <c r="B1" s="14"/>
      <c r="C1" s="14"/>
      <c r="D1" s="14"/>
      <c r="E1" s="14"/>
      <c r="F1" s="14"/>
      <c r="G1" s="14"/>
      <c r="H1" s="14"/>
      <c r="I1" s="9"/>
    </row>
    <row r="2" ht="15.75" customHeight="1">
      <c r="B2" s="24"/>
    </row>
    <row r="3" ht="15.75" customHeight="1">
      <c r="A3" s="144" t="s">
        <v>53</v>
      </c>
      <c r="B3" s="145" t="s">
        <v>340</v>
      </c>
      <c r="C3" s="145" t="s">
        <v>341</v>
      </c>
      <c r="D3" s="145" t="s">
        <v>342</v>
      </c>
      <c r="E3" s="145" t="s">
        <v>343</v>
      </c>
      <c r="F3" s="145" t="s">
        <v>344</v>
      </c>
      <c r="G3" s="145" t="s">
        <v>345</v>
      </c>
      <c r="H3" s="145" t="s">
        <v>346</v>
      </c>
      <c r="I3" s="146" t="s">
        <v>347</v>
      </c>
    </row>
    <row r="4" ht="15.75" customHeight="1">
      <c r="A4" s="147">
        <v>1.0</v>
      </c>
      <c r="B4" s="148" t="s">
        <v>348</v>
      </c>
      <c r="C4" s="148"/>
      <c r="D4" s="149">
        <v>175.0</v>
      </c>
      <c r="E4" s="149">
        <v>4.0</v>
      </c>
      <c r="F4" s="149">
        <f t="shared" ref="F4:F9" si="1">1.1*7.5</f>
        <v>8.25</v>
      </c>
      <c r="G4" s="149">
        <f t="shared" ref="G4:G9" si="2">(1.1*0.18)</f>
        <v>0.198</v>
      </c>
      <c r="H4" s="150">
        <f t="shared" ref="H4:H9" si="3">(E4*F4)+(D4*G4)</f>
        <v>67.65</v>
      </c>
      <c r="I4" s="151">
        <v>70.0</v>
      </c>
    </row>
    <row r="5" ht="15.75" customHeight="1">
      <c r="A5" s="147">
        <v>2.0</v>
      </c>
      <c r="B5" s="148" t="s">
        <v>349</v>
      </c>
      <c r="C5" s="148"/>
      <c r="D5" s="149">
        <v>664.0</v>
      </c>
      <c r="E5" s="149">
        <v>7.0</v>
      </c>
      <c r="F5" s="149">
        <f t="shared" si="1"/>
        <v>8.25</v>
      </c>
      <c r="G5" s="149">
        <f t="shared" si="2"/>
        <v>0.198</v>
      </c>
      <c r="H5" s="150">
        <f t="shared" si="3"/>
        <v>189.222</v>
      </c>
      <c r="I5" s="151">
        <v>210.0</v>
      </c>
    </row>
    <row r="6" ht="15.75" customHeight="1">
      <c r="A6" s="147">
        <v>3.0</v>
      </c>
      <c r="B6" s="148" t="s">
        <v>350</v>
      </c>
      <c r="C6" s="148"/>
      <c r="D6" s="149">
        <v>33.0</v>
      </c>
      <c r="E6" s="149">
        <v>1.0</v>
      </c>
      <c r="F6" s="149">
        <f t="shared" si="1"/>
        <v>8.25</v>
      </c>
      <c r="G6" s="149">
        <f t="shared" si="2"/>
        <v>0.198</v>
      </c>
      <c r="H6" s="150">
        <f t="shared" si="3"/>
        <v>14.784</v>
      </c>
      <c r="I6" s="151">
        <v>20.0</v>
      </c>
    </row>
    <row r="7" ht="15.75" customHeight="1">
      <c r="A7" s="147">
        <v>4.0</v>
      </c>
      <c r="B7" s="148" t="s">
        <v>351</v>
      </c>
      <c r="C7" s="148"/>
      <c r="D7" s="149">
        <v>633.0</v>
      </c>
      <c r="E7" s="149">
        <v>57.0</v>
      </c>
      <c r="F7" s="149">
        <f t="shared" si="1"/>
        <v>8.25</v>
      </c>
      <c r="G7" s="149">
        <f t="shared" si="2"/>
        <v>0.198</v>
      </c>
      <c r="H7" s="150">
        <f t="shared" si="3"/>
        <v>595.584</v>
      </c>
      <c r="I7" s="151">
        <v>615.0</v>
      </c>
    </row>
    <row r="8" ht="15.75" customHeight="1">
      <c r="A8" s="147">
        <v>5.0</v>
      </c>
      <c r="B8" s="148" t="s">
        <v>352</v>
      </c>
      <c r="C8" s="148"/>
      <c r="D8" s="149">
        <v>39.0</v>
      </c>
      <c r="E8" s="149">
        <v>3.0</v>
      </c>
      <c r="F8" s="149">
        <f t="shared" si="1"/>
        <v>8.25</v>
      </c>
      <c r="G8" s="149">
        <f t="shared" si="2"/>
        <v>0.198</v>
      </c>
      <c r="H8" s="150">
        <f t="shared" si="3"/>
        <v>32.472</v>
      </c>
      <c r="I8" s="151">
        <v>45.0</v>
      </c>
    </row>
    <row r="9" ht="15.75" customHeight="1">
      <c r="A9" s="147">
        <v>6.0</v>
      </c>
      <c r="B9" s="148" t="s">
        <v>353</v>
      </c>
      <c r="C9" s="148"/>
      <c r="D9" s="149">
        <v>95.0</v>
      </c>
      <c r="E9" s="149">
        <v>2.0</v>
      </c>
      <c r="F9" s="149">
        <f t="shared" si="1"/>
        <v>8.25</v>
      </c>
      <c r="G9" s="149">
        <f t="shared" si="2"/>
        <v>0.198</v>
      </c>
      <c r="H9" s="150">
        <f t="shared" si="3"/>
        <v>35.31</v>
      </c>
      <c r="I9" s="151">
        <v>40.0</v>
      </c>
    </row>
    <row r="10" ht="15.75" customHeight="1">
      <c r="A10" s="152"/>
      <c r="B10" s="153" t="s">
        <v>47</v>
      </c>
      <c r="C10" s="153"/>
      <c r="D10" s="154">
        <f t="shared" ref="D10:E10" si="4">SUM(D4:D9)</f>
        <v>1639</v>
      </c>
      <c r="E10" s="154">
        <f t="shared" si="4"/>
        <v>74</v>
      </c>
      <c r="F10" s="153"/>
      <c r="G10" s="153"/>
      <c r="H10" s="150">
        <f t="shared" ref="H10:I10" si="5">SUM(H4:H9)</f>
        <v>935.022</v>
      </c>
      <c r="I10" s="150">
        <f t="shared" si="5"/>
        <v>1000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A1:I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6" width="12.63"/>
  </cols>
  <sheetData>
    <row r="1" ht="15.75" customHeight="1">
      <c r="A1" s="34" t="s">
        <v>354</v>
      </c>
      <c r="B1" s="14"/>
      <c r="C1" s="14"/>
      <c r="D1" s="14"/>
      <c r="E1" s="9"/>
      <c r="F1" s="155"/>
    </row>
    <row r="2" ht="15.75" customHeight="1">
      <c r="A2" s="46" t="s">
        <v>355</v>
      </c>
      <c r="B2" s="46" t="s">
        <v>356</v>
      </c>
      <c r="C2" s="46" t="s">
        <v>357</v>
      </c>
      <c r="D2" s="46" t="s">
        <v>358</v>
      </c>
      <c r="E2" s="46" t="s">
        <v>359</v>
      </c>
      <c r="F2" s="156"/>
    </row>
    <row r="3" ht="15.75" customHeight="1">
      <c r="A3" s="6" t="s">
        <v>360</v>
      </c>
      <c r="B3" s="47"/>
      <c r="C3" s="47"/>
      <c r="D3" s="47"/>
      <c r="E3" s="47"/>
      <c r="F3" s="157"/>
    </row>
    <row r="4" ht="28.5" customHeight="1">
      <c r="A4" s="6" t="s">
        <v>361</v>
      </c>
      <c r="B4" s="47"/>
      <c r="C4" s="47"/>
      <c r="D4" s="47"/>
      <c r="E4" s="47"/>
      <c r="F4" s="157"/>
    </row>
    <row r="5" ht="27.0" customHeight="1">
      <c r="A5" s="6" t="s">
        <v>362</v>
      </c>
      <c r="B5" s="47"/>
      <c r="C5" s="47"/>
      <c r="D5" s="47"/>
      <c r="E5" s="47"/>
      <c r="F5" s="157"/>
    </row>
    <row r="6" ht="22.5" customHeight="1">
      <c r="A6" s="6" t="s">
        <v>363</v>
      </c>
      <c r="B6" s="47"/>
      <c r="C6" s="47"/>
      <c r="D6" s="47"/>
      <c r="E6" s="47"/>
      <c r="F6" s="157"/>
    </row>
    <row r="7" ht="22.5" customHeight="1">
      <c r="A7" s="6" t="s">
        <v>364</v>
      </c>
      <c r="B7" s="47"/>
      <c r="C7" s="47"/>
      <c r="D7" s="47"/>
      <c r="E7" s="47"/>
      <c r="F7" s="157"/>
    </row>
    <row r="8" ht="22.5" customHeight="1">
      <c r="A8" s="6" t="s">
        <v>47</v>
      </c>
      <c r="B8" s="47"/>
      <c r="C8" s="47"/>
      <c r="D8" s="47"/>
      <c r="E8" s="47"/>
      <c r="F8" s="157"/>
    </row>
    <row r="9" ht="33.0" customHeight="1">
      <c r="A9" s="18" t="s">
        <v>365</v>
      </c>
      <c r="B9" s="14"/>
      <c r="C9" s="14"/>
      <c r="D9" s="9"/>
      <c r="E9" s="6"/>
      <c r="F9" s="15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9:D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4.13"/>
    <col customWidth="1" min="3" max="6" width="12.63"/>
  </cols>
  <sheetData>
    <row r="1" ht="15.75" customHeight="1">
      <c r="A1" s="34" t="s">
        <v>366</v>
      </c>
      <c r="B1" s="9"/>
    </row>
    <row r="2" ht="15.75" customHeight="1">
      <c r="A2" s="6" t="s">
        <v>7</v>
      </c>
      <c r="B2" s="6" t="s">
        <v>367</v>
      </c>
    </row>
    <row r="3" ht="15.75" customHeight="1">
      <c r="A3" s="6" t="s">
        <v>368</v>
      </c>
      <c r="B3" s="6" t="s">
        <v>369</v>
      </c>
    </row>
    <row r="4" ht="15.75" customHeight="1">
      <c r="A4" s="6" t="s">
        <v>370</v>
      </c>
      <c r="B4" s="6" t="s">
        <v>369</v>
      </c>
    </row>
    <row r="5" ht="32.25" customHeight="1">
      <c r="A5" s="6" t="s">
        <v>371</v>
      </c>
      <c r="B5" s="6" t="s">
        <v>369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38"/>
    <col customWidth="1" min="3" max="6" width="12.63"/>
  </cols>
  <sheetData>
    <row r="1" ht="15.75" customHeight="1">
      <c r="A1" s="34" t="s">
        <v>372</v>
      </c>
      <c r="B1" s="14"/>
      <c r="C1" s="14"/>
      <c r="D1" s="9"/>
    </row>
    <row r="2" ht="15.75" customHeight="1">
      <c r="A2" s="46" t="s">
        <v>373</v>
      </c>
      <c r="B2" s="46" t="s">
        <v>374</v>
      </c>
      <c r="C2" s="46" t="s">
        <v>375</v>
      </c>
      <c r="D2" s="46" t="s">
        <v>376</v>
      </c>
    </row>
    <row r="3" ht="15.75" customHeight="1">
      <c r="A3" s="6">
        <v>1.0</v>
      </c>
      <c r="B3" s="6" t="s">
        <v>65</v>
      </c>
      <c r="C3" s="6">
        <f>872+767</f>
        <v>1639</v>
      </c>
      <c r="D3" s="6" t="s">
        <v>377</v>
      </c>
    </row>
    <row r="4" ht="15.75" customHeight="1">
      <c r="A4" s="6">
        <v>2.0</v>
      </c>
      <c r="B4" s="6" t="s">
        <v>378</v>
      </c>
      <c r="C4" s="6">
        <v>2.0</v>
      </c>
      <c r="D4" s="6" t="s">
        <v>220</v>
      </c>
    </row>
    <row r="5" ht="31.5" customHeight="1">
      <c r="A5" s="6">
        <v>3.0</v>
      </c>
      <c r="B5" s="6" t="s">
        <v>379</v>
      </c>
      <c r="C5" s="6">
        <v>3.0</v>
      </c>
      <c r="D5" s="6" t="s">
        <v>220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63"/>
    <col customWidth="1" min="3" max="6" width="12.63"/>
  </cols>
  <sheetData>
    <row r="1" ht="15.75" customHeight="1">
      <c r="A1" s="34" t="s">
        <v>380</v>
      </c>
      <c r="B1" s="14"/>
      <c r="C1" s="14"/>
      <c r="D1" s="9"/>
    </row>
    <row r="2" ht="20.25" customHeight="1">
      <c r="A2" s="46" t="s">
        <v>373</v>
      </c>
      <c r="B2" s="46" t="s">
        <v>374</v>
      </c>
      <c r="C2" s="46" t="s">
        <v>381</v>
      </c>
      <c r="D2" s="46" t="s">
        <v>376</v>
      </c>
    </row>
    <row r="3" ht="23.25" customHeight="1">
      <c r="A3" s="6">
        <v>1.0</v>
      </c>
      <c r="B3" s="6" t="s">
        <v>3</v>
      </c>
      <c r="C3" s="158">
        <v>2082.0</v>
      </c>
      <c r="D3" s="6" t="s">
        <v>382</v>
      </c>
    </row>
    <row r="4" ht="15.75" customHeight="1">
      <c r="A4" s="6">
        <v>2.0</v>
      </c>
      <c r="B4" s="6" t="s">
        <v>383</v>
      </c>
      <c r="C4" s="6">
        <v>21.0</v>
      </c>
      <c r="D4" s="6" t="s">
        <v>384</v>
      </c>
    </row>
    <row r="5" ht="15.75" customHeight="1">
      <c r="A5" s="6">
        <v>3.0</v>
      </c>
      <c r="B5" s="6" t="s">
        <v>385</v>
      </c>
      <c r="C5" s="6">
        <v>24.0</v>
      </c>
      <c r="D5" s="6" t="s">
        <v>384</v>
      </c>
    </row>
    <row r="6" ht="25.5" customHeight="1">
      <c r="A6" s="6">
        <v>4.0</v>
      </c>
      <c r="B6" s="6" t="s">
        <v>147</v>
      </c>
      <c r="C6" s="159">
        <f>C5/C4*100</f>
        <v>114.2857143</v>
      </c>
      <c r="D6" s="9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C6:D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63"/>
    <col customWidth="1" min="4" max="4" width="15.25"/>
    <col customWidth="1" min="5" max="6" width="12.63"/>
  </cols>
  <sheetData>
    <row r="1" ht="15.75" customHeight="1">
      <c r="A1" s="34" t="s">
        <v>386</v>
      </c>
      <c r="B1" s="14"/>
      <c r="C1" s="14"/>
      <c r="D1" s="9"/>
    </row>
    <row r="2" ht="15.75" customHeight="1">
      <c r="A2" s="46" t="s">
        <v>387</v>
      </c>
      <c r="B2" s="46" t="s">
        <v>388</v>
      </c>
      <c r="C2" s="46" t="s">
        <v>389</v>
      </c>
      <c r="D2" s="46" t="s">
        <v>367</v>
      </c>
    </row>
    <row r="3" ht="30.0" customHeight="1">
      <c r="A3" s="6" t="s">
        <v>390</v>
      </c>
      <c r="B3" s="6"/>
      <c r="C3" s="6"/>
      <c r="D3" s="6"/>
    </row>
    <row r="4" ht="15.75" customHeight="1">
      <c r="A4" s="6" t="s">
        <v>391</v>
      </c>
      <c r="B4" s="6"/>
      <c r="C4" s="6"/>
      <c r="D4" s="6"/>
    </row>
    <row r="5" ht="25.5" customHeight="1">
      <c r="A5" s="6" t="s">
        <v>392</v>
      </c>
      <c r="B5" s="17"/>
      <c r="C5" s="6"/>
      <c r="D5" s="6"/>
    </row>
    <row r="6" ht="15.75" customHeight="1">
      <c r="A6" s="6" t="s">
        <v>393</v>
      </c>
      <c r="B6" s="43"/>
      <c r="C6" s="6"/>
      <c r="D6" s="6"/>
    </row>
    <row r="7" ht="28.5" customHeight="1">
      <c r="A7" s="6" t="s">
        <v>394</v>
      </c>
      <c r="B7" s="19"/>
      <c r="C7" s="6"/>
      <c r="D7" s="6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B5:B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12.38"/>
    <col customWidth="1" min="3" max="6" width="12.63"/>
  </cols>
  <sheetData>
    <row r="1" ht="15.75" customHeight="1">
      <c r="A1" s="34" t="s">
        <v>395</v>
      </c>
      <c r="B1" s="9"/>
    </row>
    <row r="2" ht="15.75" customHeight="1">
      <c r="A2" s="46" t="s">
        <v>388</v>
      </c>
      <c r="B2" s="46" t="s">
        <v>367</v>
      </c>
    </row>
    <row r="3" ht="20.25" customHeight="1">
      <c r="A3" s="6" t="s">
        <v>396</v>
      </c>
      <c r="B3" s="6" t="s">
        <v>106</v>
      </c>
    </row>
    <row r="4" ht="20.25" customHeight="1">
      <c r="A4" s="6" t="s">
        <v>397</v>
      </c>
      <c r="B4" s="6" t="s">
        <v>398</v>
      </c>
    </row>
    <row r="5" ht="24.0" customHeight="1">
      <c r="A5" s="6" t="s">
        <v>399</v>
      </c>
      <c r="B5" s="6" t="s">
        <v>106</v>
      </c>
    </row>
    <row r="6" ht="18.0" customHeight="1">
      <c r="A6" s="6" t="s">
        <v>400</v>
      </c>
      <c r="B6" s="6" t="s">
        <v>398</v>
      </c>
    </row>
    <row r="7" ht="19.5" customHeight="1">
      <c r="A7" s="6" t="s">
        <v>401</v>
      </c>
      <c r="B7" s="6" t="s">
        <v>398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63"/>
    <col customWidth="1" min="3" max="6" width="12.63"/>
  </cols>
  <sheetData>
    <row r="1" ht="25.5" customHeight="1">
      <c r="A1" s="34" t="s">
        <v>402</v>
      </c>
      <c r="B1" s="14"/>
      <c r="C1" s="9"/>
    </row>
    <row r="2" ht="24.0" customHeight="1">
      <c r="A2" s="46" t="s">
        <v>373</v>
      </c>
      <c r="B2" s="46" t="s">
        <v>374</v>
      </c>
      <c r="C2" s="46" t="s">
        <v>20</v>
      </c>
    </row>
    <row r="3" ht="26.25" customHeight="1">
      <c r="A3" s="6">
        <v>1.0</v>
      </c>
      <c r="B3" s="6" t="s">
        <v>403</v>
      </c>
      <c r="C3" s="6">
        <v>20.0</v>
      </c>
    </row>
    <row r="4" ht="15.75" customHeight="1">
      <c r="A4" s="6">
        <v>2.0</v>
      </c>
      <c r="B4" s="6" t="s">
        <v>404</v>
      </c>
      <c r="C4" s="6">
        <v>6.0</v>
      </c>
    </row>
    <row r="5" ht="15.75" customHeight="1">
      <c r="A5" s="6">
        <v>3.0</v>
      </c>
      <c r="B5" s="6" t="s">
        <v>405</v>
      </c>
      <c r="C5" s="40">
        <f>C4/C3*100</f>
        <v>30</v>
      </c>
    </row>
    <row r="6" ht="15.75" customHeight="1"/>
    <row r="7" ht="15.75" customHeight="1"/>
    <row r="8" ht="15.75" customHeight="1">
      <c r="B8" s="7" t="s">
        <v>49</v>
      </c>
      <c r="C8" s="7"/>
    </row>
    <row r="9" ht="15.75" customHeight="1">
      <c r="B9" s="7" t="s">
        <v>50</v>
      </c>
      <c r="C9" s="7">
        <v>12.0</v>
      </c>
    </row>
    <row r="10" ht="15.75" customHeight="1">
      <c r="B10" s="7" t="s">
        <v>406</v>
      </c>
      <c r="C10" s="7">
        <v>62.0</v>
      </c>
    </row>
    <row r="11" ht="15.75" customHeight="1">
      <c r="B11" s="7"/>
      <c r="C11" s="7">
        <f>((C10*1)+(C9*8))/8</f>
        <v>19.75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6" width="12.63"/>
  </cols>
  <sheetData>
    <row r="1" ht="15.75" customHeight="1">
      <c r="A1" s="48" t="s">
        <v>407</v>
      </c>
      <c r="C1" s="51"/>
      <c r="D1" s="51"/>
      <c r="E1" s="51"/>
      <c r="F1" s="51"/>
      <c r="G1" s="51"/>
      <c r="H1" s="51"/>
      <c r="I1" s="51"/>
    </row>
    <row r="2" ht="10.5" customHeight="1">
      <c r="A2" s="64"/>
      <c r="B2" s="50"/>
      <c r="C2" s="51"/>
      <c r="D2" s="51"/>
      <c r="E2" s="51"/>
      <c r="F2" s="51"/>
      <c r="G2" s="51"/>
      <c r="H2" s="51"/>
      <c r="I2" s="51"/>
    </row>
    <row r="3" ht="15.75" customHeight="1">
      <c r="A3" s="160" t="s">
        <v>408</v>
      </c>
      <c r="B3" s="161" t="s">
        <v>409</v>
      </c>
      <c r="C3" s="51"/>
      <c r="D3" s="51"/>
      <c r="E3" s="51"/>
      <c r="F3" s="51"/>
      <c r="G3" s="51"/>
      <c r="H3" s="51"/>
      <c r="I3" s="51"/>
    </row>
    <row r="4" ht="15.75" customHeight="1">
      <c r="A4" s="160" t="s">
        <v>410</v>
      </c>
      <c r="B4" s="60"/>
      <c r="C4" s="51"/>
      <c r="D4" s="51"/>
      <c r="E4" s="51"/>
      <c r="F4" s="51"/>
      <c r="G4" s="51"/>
      <c r="H4" s="51"/>
      <c r="I4" s="51"/>
    </row>
    <row r="5" ht="15.75" customHeight="1">
      <c r="A5" s="160" t="s">
        <v>411</v>
      </c>
      <c r="B5" s="60"/>
      <c r="C5" s="51"/>
      <c r="D5" s="51"/>
      <c r="E5" s="51"/>
      <c r="F5" s="51"/>
      <c r="G5" s="51"/>
      <c r="H5" s="51"/>
      <c r="I5" s="51"/>
    </row>
    <row r="6" ht="15.75" customHeight="1">
      <c r="A6" s="160" t="s">
        <v>412</v>
      </c>
      <c r="B6" s="60"/>
      <c r="C6" s="51"/>
      <c r="D6" s="51"/>
      <c r="E6" s="51"/>
      <c r="F6" s="51"/>
      <c r="G6" s="51"/>
      <c r="H6" s="51"/>
      <c r="I6" s="51"/>
    </row>
    <row r="7" ht="15.75" customHeight="1">
      <c r="A7" s="160" t="s">
        <v>413</v>
      </c>
      <c r="B7" s="60"/>
      <c r="C7" s="51"/>
      <c r="D7" s="51"/>
      <c r="E7" s="51"/>
      <c r="F7" s="51"/>
      <c r="G7" s="51"/>
      <c r="H7" s="51"/>
      <c r="I7" s="51"/>
    </row>
    <row r="8" ht="15.75" customHeight="1">
      <c r="A8" s="160" t="s">
        <v>414</v>
      </c>
      <c r="B8" s="60"/>
      <c r="C8" s="51"/>
      <c r="D8" s="51"/>
      <c r="E8" s="51"/>
      <c r="F8" s="51"/>
      <c r="G8" s="51"/>
      <c r="H8" s="51"/>
      <c r="I8" s="51"/>
    </row>
    <row r="9" ht="15.75" customHeight="1">
      <c r="A9" s="160" t="s">
        <v>415</v>
      </c>
      <c r="B9" s="60"/>
      <c r="C9" s="51"/>
      <c r="D9" s="51"/>
      <c r="E9" s="51"/>
      <c r="F9" s="51"/>
      <c r="G9" s="51"/>
      <c r="H9" s="51"/>
      <c r="I9" s="51"/>
    </row>
    <row r="10" ht="15.75" customHeight="1">
      <c r="A10" s="160" t="s">
        <v>416</v>
      </c>
      <c r="B10" s="60"/>
      <c r="C10" s="51"/>
      <c r="D10" s="51"/>
      <c r="E10" s="51"/>
      <c r="F10" s="51"/>
      <c r="G10" s="51"/>
      <c r="H10" s="51"/>
      <c r="I10" s="51"/>
    </row>
    <row r="11" ht="15.75" customHeight="1">
      <c r="A11" s="160" t="s">
        <v>417</v>
      </c>
      <c r="B11" s="60"/>
      <c r="C11" s="51"/>
      <c r="D11" s="51"/>
      <c r="E11" s="51"/>
      <c r="F11" s="51"/>
      <c r="G11" s="51"/>
      <c r="H11" s="51"/>
      <c r="I11" s="51"/>
    </row>
    <row r="12" ht="15.75" customHeight="1">
      <c r="A12" s="160" t="s">
        <v>418</v>
      </c>
      <c r="B12" s="60"/>
      <c r="C12" s="51"/>
      <c r="D12" s="51"/>
      <c r="E12" s="51"/>
      <c r="F12" s="51"/>
      <c r="G12" s="51"/>
      <c r="H12" s="51"/>
      <c r="I12" s="51"/>
    </row>
    <row r="13" ht="15.75" customHeight="1">
      <c r="A13" s="160" t="s">
        <v>419</v>
      </c>
      <c r="B13" s="60"/>
      <c r="C13" s="51"/>
      <c r="D13" s="51"/>
      <c r="E13" s="51"/>
      <c r="F13" s="51"/>
      <c r="G13" s="51"/>
      <c r="H13" s="51"/>
      <c r="I13" s="51"/>
    </row>
    <row r="14" ht="15.75" customHeight="1">
      <c r="A14" s="160" t="s">
        <v>420</v>
      </c>
      <c r="B14" s="60"/>
      <c r="C14" s="51"/>
      <c r="D14" s="51"/>
      <c r="E14" s="51"/>
      <c r="F14" s="51"/>
      <c r="G14" s="51"/>
      <c r="H14" s="51"/>
      <c r="I14" s="51"/>
    </row>
    <row r="15" ht="15.75" customHeight="1">
      <c r="A15" s="160" t="s">
        <v>421</v>
      </c>
      <c r="B15" s="60"/>
      <c r="C15" s="51"/>
      <c r="D15" s="51"/>
      <c r="E15" s="51"/>
      <c r="F15" s="51"/>
      <c r="G15" s="51"/>
      <c r="H15" s="51"/>
      <c r="I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</row>
    <row r="18" ht="15.75" customHeight="1">
      <c r="A18" s="48" t="s">
        <v>422</v>
      </c>
    </row>
    <row r="19" ht="11.25" customHeight="1">
      <c r="A19" s="64"/>
      <c r="B19" s="50"/>
      <c r="C19" s="50"/>
      <c r="D19" s="50"/>
      <c r="E19" s="50"/>
      <c r="F19" s="50"/>
      <c r="G19" s="50"/>
      <c r="H19" s="50"/>
      <c r="I19" s="50"/>
    </row>
    <row r="20" ht="15.75" customHeight="1">
      <c r="A20" s="160" t="s">
        <v>423</v>
      </c>
      <c r="B20" s="161" t="s">
        <v>355</v>
      </c>
      <c r="C20" s="161" t="s">
        <v>424</v>
      </c>
      <c r="D20" s="161" t="s">
        <v>425</v>
      </c>
      <c r="E20" s="161" t="s">
        <v>426</v>
      </c>
      <c r="F20" s="161" t="s">
        <v>427</v>
      </c>
      <c r="G20" s="161" t="s">
        <v>428</v>
      </c>
      <c r="H20" s="161" t="s">
        <v>429</v>
      </c>
      <c r="I20" s="161" t="s">
        <v>430</v>
      </c>
    </row>
    <row r="21" ht="15.75" customHeight="1">
      <c r="A21" s="160" t="s">
        <v>431</v>
      </c>
      <c r="B21" s="161" t="s">
        <v>432</v>
      </c>
      <c r="C21" s="60"/>
      <c r="D21" s="60"/>
      <c r="E21" s="60"/>
      <c r="F21" s="60"/>
      <c r="G21" s="60"/>
      <c r="H21" s="60"/>
      <c r="I21" s="60"/>
    </row>
    <row r="22" ht="15.75" customHeight="1">
      <c r="A22" s="160" t="s">
        <v>431</v>
      </c>
      <c r="B22" s="161" t="s">
        <v>433</v>
      </c>
      <c r="C22" s="60"/>
      <c r="D22" s="60"/>
      <c r="E22" s="60"/>
      <c r="F22" s="60"/>
      <c r="G22" s="60"/>
      <c r="H22" s="60"/>
      <c r="I22" s="60"/>
    </row>
    <row r="23" ht="15.75" customHeight="1">
      <c r="A23" s="160" t="s">
        <v>431</v>
      </c>
      <c r="B23" s="161" t="s">
        <v>433</v>
      </c>
      <c r="C23" s="60"/>
      <c r="D23" s="60"/>
      <c r="E23" s="60"/>
      <c r="F23" s="60"/>
      <c r="G23" s="60"/>
      <c r="H23" s="60"/>
      <c r="I23" s="60"/>
    </row>
    <row r="24" ht="15.75" customHeight="1">
      <c r="A24" s="160" t="s">
        <v>431</v>
      </c>
      <c r="B24" s="161" t="s">
        <v>362</v>
      </c>
      <c r="C24" s="60"/>
      <c r="D24" s="60"/>
      <c r="E24" s="60"/>
      <c r="F24" s="60"/>
      <c r="G24" s="60"/>
      <c r="H24" s="60"/>
      <c r="I24" s="60"/>
    </row>
    <row r="25" ht="15.75" customHeight="1">
      <c r="A25" s="160" t="s">
        <v>431</v>
      </c>
      <c r="B25" s="161" t="s">
        <v>434</v>
      </c>
      <c r="C25" s="60"/>
      <c r="D25" s="60"/>
      <c r="E25" s="60"/>
      <c r="F25" s="60"/>
      <c r="G25" s="60"/>
      <c r="H25" s="60"/>
      <c r="I25" s="60"/>
    </row>
    <row r="26" ht="15.75" customHeight="1">
      <c r="A26" s="160" t="s">
        <v>431</v>
      </c>
      <c r="B26" s="161" t="s">
        <v>435</v>
      </c>
      <c r="C26" s="60"/>
      <c r="D26" s="60"/>
      <c r="E26" s="60"/>
      <c r="F26" s="60"/>
      <c r="G26" s="60"/>
      <c r="H26" s="60"/>
      <c r="I26" s="6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18:I18"/>
    <mergeCell ref="A19:I19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63"/>
    <col customWidth="1" min="2" max="6" width="12.63"/>
  </cols>
  <sheetData>
    <row r="1" ht="15.75" customHeight="1">
      <c r="A1" s="64"/>
      <c r="B1" s="50"/>
      <c r="C1" s="50"/>
      <c r="D1" s="50"/>
    </row>
    <row r="2" ht="15.75" customHeight="1">
      <c r="A2" s="162" t="s">
        <v>436</v>
      </c>
      <c r="B2" s="50"/>
      <c r="C2" s="50"/>
      <c r="D2" s="53"/>
    </row>
    <row r="3" ht="9.75" customHeight="1">
      <c r="A3" s="64"/>
      <c r="B3" s="50"/>
      <c r="C3" s="50"/>
      <c r="D3" s="50"/>
    </row>
    <row r="4" ht="15.75" customHeight="1">
      <c r="A4" s="160" t="s">
        <v>437</v>
      </c>
      <c r="B4" s="161" t="s">
        <v>438</v>
      </c>
      <c r="C4" s="161" t="s">
        <v>439</v>
      </c>
      <c r="D4" s="161" t="s">
        <v>440</v>
      </c>
    </row>
    <row r="5" ht="15.75" customHeight="1">
      <c r="A5" s="160" t="s">
        <v>441</v>
      </c>
      <c r="B5" s="60"/>
      <c r="C5" s="60"/>
      <c r="D5" s="60"/>
    </row>
    <row r="6" ht="15.75" customHeight="1">
      <c r="A6" s="160" t="s">
        <v>442</v>
      </c>
      <c r="B6" s="60"/>
      <c r="C6" s="60"/>
      <c r="D6" s="60"/>
    </row>
    <row r="7" ht="15.75" customHeight="1">
      <c r="A7" s="160" t="s">
        <v>443</v>
      </c>
      <c r="B7" s="60"/>
      <c r="C7" s="60"/>
      <c r="D7" s="60"/>
    </row>
    <row r="8" ht="15.75" customHeight="1">
      <c r="A8" s="160" t="s">
        <v>444</v>
      </c>
      <c r="B8" s="60"/>
      <c r="C8" s="60"/>
      <c r="D8" s="60"/>
    </row>
    <row r="9" ht="15.75" customHeight="1">
      <c r="A9" s="160" t="s">
        <v>445</v>
      </c>
      <c r="B9" s="60"/>
      <c r="C9" s="60"/>
      <c r="D9" s="60"/>
    </row>
    <row r="10" ht="15.75" customHeight="1">
      <c r="A10" s="160" t="s">
        <v>446</v>
      </c>
      <c r="B10" s="60"/>
      <c r="C10" s="60"/>
      <c r="D10" s="60"/>
    </row>
    <row r="11" ht="15.75" customHeight="1">
      <c r="A11" s="160" t="s">
        <v>447</v>
      </c>
      <c r="B11" s="60"/>
      <c r="C11" s="60"/>
      <c r="D11" s="60"/>
    </row>
    <row r="12" ht="15.75" customHeight="1">
      <c r="A12" s="160" t="s">
        <v>448</v>
      </c>
      <c r="B12" s="60"/>
      <c r="C12" s="60"/>
      <c r="D12" s="60"/>
    </row>
    <row r="13" ht="15.75" customHeight="1">
      <c r="A13" s="51"/>
      <c r="B13" s="51"/>
      <c r="C13" s="51"/>
      <c r="D13" s="51"/>
    </row>
    <row r="14" ht="15.75" customHeight="1">
      <c r="A14" s="49"/>
      <c r="B14" s="49"/>
      <c r="C14" s="49"/>
      <c r="D14" s="49"/>
    </row>
    <row r="15" ht="15.75" customHeight="1">
      <c r="A15" s="162" t="s">
        <v>449</v>
      </c>
      <c r="B15" s="50"/>
      <c r="C15" s="50"/>
      <c r="D15" s="53"/>
    </row>
    <row r="16" ht="15.75" customHeight="1">
      <c r="A16" s="64"/>
      <c r="B16" s="50"/>
      <c r="C16" s="50"/>
      <c r="D16" s="50"/>
    </row>
    <row r="17" ht="15.75" customHeight="1">
      <c r="A17" s="163" t="s">
        <v>450</v>
      </c>
      <c r="B17" s="53"/>
      <c r="C17" s="164" t="s">
        <v>451</v>
      </c>
      <c r="D17" s="53"/>
    </row>
    <row r="18" ht="15.75" customHeight="1">
      <c r="A18" s="160" t="s">
        <v>452</v>
      </c>
      <c r="B18" s="161" t="s">
        <v>453</v>
      </c>
      <c r="C18" s="161" t="s">
        <v>454</v>
      </c>
      <c r="D18" s="161" t="s">
        <v>455</v>
      </c>
    </row>
    <row r="19" ht="15.75" customHeight="1">
      <c r="A19" s="52"/>
      <c r="B19" s="60"/>
      <c r="C19" s="60"/>
      <c r="D19" s="60"/>
    </row>
    <row r="20" ht="15.75" customHeight="1">
      <c r="A20" s="52"/>
      <c r="B20" s="60"/>
      <c r="C20" s="60"/>
      <c r="D20" s="60"/>
    </row>
    <row r="21" ht="15.75" customHeight="1">
      <c r="A21" s="52"/>
      <c r="B21" s="60"/>
      <c r="C21" s="60"/>
      <c r="D21" s="60"/>
    </row>
    <row r="22" ht="15.75" customHeight="1">
      <c r="A22" s="52"/>
      <c r="B22" s="60"/>
      <c r="C22" s="60"/>
      <c r="D22" s="60"/>
    </row>
    <row r="23" ht="15.75" customHeight="1">
      <c r="A23" s="52"/>
      <c r="B23" s="60"/>
      <c r="C23" s="60"/>
      <c r="D23" s="60"/>
    </row>
    <row r="24" ht="15.75" customHeight="1">
      <c r="A24" s="51"/>
      <c r="B24" s="51"/>
      <c r="C24" s="51"/>
      <c r="D24" s="51"/>
    </row>
    <row r="25" ht="15.75" customHeight="1">
      <c r="A25" s="51"/>
      <c r="B25" s="51"/>
      <c r="C25" s="51"/>
      <c r="D25" s="51"/>
    </row>
    <row r="26" ht="15.75" customHeight="1">
      <c r="A26" s="82" t="s">
        <v>456</v>
      </c>
    </row>
    <row r="27" ht="10.5" customHeight="1">
      <c r="A27" s="49"/>
      <c r="B27" s="50"/>
      <c r="C27" s="50"/>
      <c r="D27" s="51"/>
    </row>
    <row r="28" ht="15.75" customHeight="1">
      <c r="A28" s="163" t="s">
        <v>457</v>
      </c>
      <c r="B28" s="53"/>
      <c r="C28" s="161" t="s">
        <v>458</v>
      </c>
      <c r="D28" s="51"/>
    </row>
    <row r="29" ht="15.75" customHeight="1">
      <c r="A29" s="160" t="s">
        <v>459</v>
      </c>
      <c r="B29" s="161" t="s">
        <v>460</v>
      </c>
      <c r="C29" s="161" t="s">
        <v>461</v>
      </c>
      <c r="D29" s="51"/>
    </row>
    <row r="30" ht="15.75" customHeight="1">
      <c r="A30" s="52"/>
      <c r="B30" s="60"/>
      <c r="C30" s="60"/>
      <c r="D30" s="51"/>
    </row>
    <row r="31" ht="15.75" customHeight="1">
      <c r="A31" s="52"/>
      <c r="B31" s="60"/>
      <c r="C31" s="60"/>
      <c r="D31" s="51"/>
    </row>
    <row r="32" ht="15.75" customHeight="1">
      <c r="A32" s="52"/>
      <c r="B32" s="60"/>
      <c r="C32" s="60"/>
      <c r="D32" s="51"/>
    </row>
    <row r="33" ht="15.75" customHeight="1">
      <c r="A33" s="52"/>
      <c r="B33" s="60"/>
      <c r="C33" s="60"/>
      <c r="D33" s="51"/>
    </row>
    <row r="34" ht="15.75" customHeight="1">
      <c r="A34" s="52"/>
      <c r="B34" s="60"/>
      <c r="C34" s="60"/>
      <c r="D34" s="51"/>
    </row>
    <row r="35" ht="15.75" customHeight="1">
      <c r="A35" s="52"/>
      <c r="B35" s="60"/>
      <c r="C35" s="60"/>
      <c r="D35" s="51"/>
    </row>
    <row r="36" ht="15.75" customHeight="1">
      <c r="A36" s="52"/>
      <c r="B36" s="60"/>
      <c r="C36" s="60"/>
      <c r="D36" s="5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6:D26"/>
    <mergeCell ref="A27:C27"/>
    <mergeCell ref="A28:B28"/>
    <mergeCell ref="A1:D1"/>
    <mergeCell ref="A2:D2"/>
    <mergeCell ref="A3:D3"/>
    <mergeCell ref="A15:D15"/>
    <mergeCell ref="A16:D16"/>
    <mergeCell ref="A17:B17"/>
    <mergeCell ref="C17:D17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8" t="s">
        <v>462</v>
      </c>
    </row>
    <row r="2" ht="9.0" customHeight="1">
      <c r="A2" s="51"/>
      <c r="E2" s="51"/>
    </row>
    <row r="3" ht="15.75" customHeight="1">
      <c r="A3" s="82" t="s">
        <v>463</v>
      </c>
      <c r="E3" s="51"/>
    </row>
    <row r="4" ht="9.0" customHeight="1">
      <c r="A4" s="64"/>
      <c r="B4" s="50"/>
      <c r="C4" s="50"/>
      <c r="D4" s="50"/>
      <c r="E4" s="51"/>
    </row>
    <row r="5" ht="15.75" customHeight="1">
      <c r="A5" s="160" t="s">
        <v>464</v>
      </c>
      <c r="B5" s="161" t="s">
        <v>465</v>
      </c>
      <c r="C5" s="161" t="s">
        <v>464</v>
      </c>
      <c r="D5" s="161" t="s">
        <v>465</v>
      </c>
      <c r="E5" s="51"/>
    </row>
    <row r="6" ht="15.75" customHeight="1">
      <c r="A6" s="160" t="s">
        <v>466</v>
      </c>
      <c r="B6" s="60"/>
      <c r="C6" s="161" t="s">
        <v>467</v>
      </c>
      <c r="D6" s="60"/>
      <c r="E6" s="51"/>
    </row>
    <row r="7" ht="15.75" customHeight="1">
      <c r="A7" s="160" t="s">
        <v>468</v>
      </c>
      <c r="B7" s="60"/>
      <c r="C7" s="161" t="s">
        <v>469</v>
      </c>
      <c r="D7" s="60"/>
      <c r="E7" s="51"/>
    </row>
    <row r="8" ht="15.75" customHeight="1">
      <c r="A8" s="160" t="s">
        <v>470</v>
      </c>
      <c r="B8" s="60"/>
      <c r="C8" s="161" t="s">
        <v>471</v>
      </c>
      <c r="D8" s="60"/>
      <c r="E8" s="51"/>
    </row>
    <row r="9" ht="15.75" customHeight="1">
      <c r="A9" s="160" t="s">
        <v>472</v>
      </c>
      <c r="B9" s="60"/>
      <c r="C9" s="161" t="s">
        <v>473</v>
      </c>
      <c r="D9" s="60"/>
      <c r="E9" s="51"/>
    </row>
    <row r="10" ht="15.75" customHeight="1">
      <c r="A10" s="160" t="s">
        <v>474</v>
      </c>
      <c r="B10" s="60"/>
      <c r="C10" s="161" t="s">
        <v>475</v>
      </c>
      <c r="D10" s="60"/>
      <c r="E10" s="51"/>
    </row>
    <row r="11" ht="15.75" customHeight="1">
      <c r="A11" s="160" t="s">
        <v>476</v>
      </c>
      <c r="B11" s="60"/>
      <c r="C11" s="161" t="s">
        <v>477</v>
      </c>
      <c r="D11" s="60"/>
      <c r="E11" s="51"/>
    </row>
    <row r="12" ht="15.75" customHeight="1">
      <c r="A12" s="160" t="s">
        <v>478</v>
      </c>
      <c r="B12" s="60"/>
      <c r="C12" s="161" t="s">
        <v>479</v>
      </c>
      <c r="D12" s="60"/>
      <c r="E12" s="51"/>
    </row>
    <row r="13" ht="15.75" customHeight="1">
      <c r="A13" s="160" t="s">
        <v>480</v>
      </c>
      <c r="B13" s="60"/>
      <c r="C13" s="161" t="s">
        <v>481</v>
      </c>
      <c r="D13" s="60"/>
      <c r="E13" s="51"/>
    </row>
    <row r="14" ht="15.75" customHeight="1">
      <c r="A14" s="160" t="s">
        <v>482</v>
      </c>
      <c r="B14" s="60"/>
      <c r="C14" s="161" t="s">
        <v>483</v>
      </c>
      <c r="D14" s="60"/>
      <c r="E14" s="51"/>
    </row>
    <row r="15" ht="15.75" customHeight="1">
      <c r="A15" s="160" t="s">
        <v>484</v>
      </c>
      <c r="B15" s="60"/>
      <c r="C15" s="161" t="s">
        <v>485</v>
      </c>
      <c r="D15" s="60"/>
      <c r="E15" s="51"/>
    </row>
    <row r="16" ht="15.75" customHeight="1">
      <c r="A16" s="160" t="s">
        <v>486</v>
      </c>
      <c r="B16" s="60"/>
      <c r="C16" s="161" t="s">
        <v>487</v>
      </c>
      <c r="D16" s="60"/>
      <c r="E16" s="51"/>
    </row>
    <row r="17" ht="15.75" customHeight="1">
      <c r="A17" s="160" t="s">
        <v>488</v>
      </c>
      <c r="B17" s="60"/>
      <c r="C17" s="161" t="s">
        <v>489</v>
      </c>
      <c r="D17" s="60"/>
      <c r="E17" s="51"/>
    </row>
    <row r="18" ht="15.75" customHeight="1">
      <c r="A18" s="160" t="s">
        <v>490</v>
      </c>
      <c r="B18" s="60"/>
      <c r="C18" s="161" t="s">
        <v>491</v>
      </c>
      <c r="D18" s="60"/>
      <c r="E18" s="51"/>
    </row>
    <row r="19" ht="15.75" customHeight="1">
      <c r="A19" s="160" t="s">
        <v>492</v>
      </c>
      <c r="B19" s="60"/>
      <c r="C19" s="161" t="s">
        <v>493</v>
      </c>
      <c r="D19" s="60"/>
      <c r="E19" s="51"/>
    </row>
    <row r="20" ht="15.75" customHeight="1">
      <c r="A20" s="51"/>
      <c r="B20" s="51"/>
      <c r="C20" s="51"/>
      <c r="D20" s="51"/>
      <c r="E20" s="51"/>
    </row>
    <row r="21" ht="15.75" customHeight="1">
      <c r="A21" s="51"/>
      <c r="B21" s="51"/>
      <c r="C21" s="51"/>
      <c r="D21" s="51"/>
      <c r="E21" s="51"/>
    </row>
    <row r="22" ht="15.75" customHeight="1">
      <c r="A22" s="82" t="s">
        <v>494</v>
      </c>
      <c r="E22" s="51"/>
    </row>
    <row r="23" ht="9.75" customHeight="1">
      <c r="A23" s="64"/>
      <c r="B23" s="50"/>
      <c r="C23" s="50"/>
      <c r="D23" s="50"/>
      <c r="E23" s="51"/>
    </row>
    <row r="24" ht="15.75" customHeight="1">
      <c r="A24" s="160" t="s">
        <v>495</v>
      </c>
      <c r="B24" s="161" t="s">
        <v>496</v>
      </c>
      <c r="C24" s="161" t="s">
        <v>495</v>
      </c>
      <c r="D24" s="161" t="s">
        <v>496</v>
      </c>
      <c r="E24" s="51"/>
    </row>
    <row r="25" ht="15.75" customHeight="1">
      <c r="A25" s="160" t="s">
        <v>497</v>
      </c>
      <c r="B25" s="60"/>
      <c r="C25" s="161" t="s">
        <v>498</v>
      </c>
      <c r="D25" s="60"/>
      <c r="E25" s="51"/>
    </row>
    <row r="26" ht="15.75" customHeight="1">
      <c r="A26" s="160" t="s">
        <v>499</v>
      </c>
      <c r="B26" s="60"/>
      <c r="C26" s="161" t="s">
        <v>500</v>
      </c>
      <c r="D26" s="60"/>
      <c r="E26" s="51"/>
    </row>
    <row r="27" ht="15.75" customHeight="1">
      <c r="A27" s="160" t="s">
        <v>501</v>
      </c>
      <c r="B27" s="60"/>
      <c r="C27" s="161" t="s">
        <v>502</v>
      </c>
      <c r="D27" s="60"/>
      <c r="E27" s="51"/>
    </row>
    <row r="28" ht="15.75" customHeight="1">
      <c r="A28" s="160" t="s">
        <v>503</v>
      </c>
      <c r="B28" s="60"/>
      <c r="C28" s="161" t="s">
        <v>504</v>
      </c>
      <c r="D28" s="60"/>
      <c r="E28" s="51"/>
    </row>
    <row r="29" ht="15.75" customHeight="1">
      <c r="A29" s="160" t="s">
        <v>505</v>
      </c>
      <c r="B29" s="60"/>
      <c r="C29" s="161" t="s">
        <v>506</v>
      </c>
      <c r="D29" s="60"/>
      <c r="E29" s="51"/>
    </row>
    <row r="30" ht="15.75" customHeight="1">
      <c r="A30" s="160" t="s">
        <v>507</v>
      </c>
      <c r="B30" s="60"/>
      <c r="C30" s="161" t="s">
        <v>508</v>
      </c>
      <c r="D30" s="60"/>
      <c r="E30" s="51"/>
    </row>
    <row r="31" ht="15.75" customHeight="1">
      <c r="A31" s="160" t="s">
        <v>509</v>
      </c>
      <c r="B31" s="60"/>
      <c r="C31" s="161" t="s">
        <v>510</v>
      </c>
      <c r="D31" s="60"/>
      <c r="E31" s="51"/>
    </row>
    <row r="32" ht="15.75" customHeight="1">
      <c r="A32" s="160" t="s">
        <v>511</v>
      </c>
      <c r="B32" s="60"/>
      <c r="C32" s="161" t="s">
        <v>512</v>
      </c>
      <c r="D32" s="60"/>
      <c r="E32" s="51"/>
    </row>
    <row r="33" ht="15.75" customHeight="1">
      <c r="A33" s="160" t="s">
        <v>513</v>
      </c>
      <c r="B33" s="60"/>
      <c r="C33" s="161" t="s">
        <v>514</v>
      </c>
      <c r="D33" s="60"/>
      <c r="E33" s="51"/>
    </row>
    <row r="34" ht="15.75" customHeight="1">
      <c r="A34" s="160" t="s">
        <v>515</v>
      </c>
      <c r="B34" s="60"/>
      <c r="C34" s="161" t="s">
        <v>516</v>
      </c>
      <c r="D34" s="60"/>
      <c r="E34" s="51"/>
    </row>
    <row r="35" ht="15.75" customHeight="1">
      <c r="A35" s="160" t="s">
        <v>517</v>
      </c>
      <c r="B35" s="60"/>
      <c r="C35" s="161" t="s">
        <v>518</v>
      </c>
      <c r="D35" s="60"/>
      <c r="E35" s="51"/>
    </row>
    <row r="36" ht="15.75" customHeight="1">
      <c r="A36" s="160" t="s">
        <v>519</v>
      </c>
      <c r="B36" s="60"/>
      <c r="C36" s="161" t="s">
        <v>520</v>
      </c>
      <c r="D36" s="60"/>
      <c r="E36" s="51"/>
    </row>
    <row r="37" ht="15.75" customHeight="1">
      <c r="A37" s="160" t="s">
        <v>521</v>
      </c>
      <c r="B37" s="60"/>
      <c r="C37" s="161" t="s">
        <v>522</v>
      </c>
      <c r="D37" s="60"/>
      <c r="E37" s="51"/>
    </row>
    <row r="38" ht="15.75" customHeight="1">
      <c r="A38" s="160" t="s">
        <v>523</v>
      </c>
      <c r="B38" s="60"/>
      <c r="C38" s="161" t="s">
        <v>524</v>
      </c>
      <c r="D38" s="60"/>
      <c r="E38" s="51"/>
    </row>
    <row r="39" ht="15.75" customHeight="1">
      <c r="A39" s="160" t="s">
        <v>511</v>
      </c>
      <c r="B39" s="60"/>
      <c r="C39" s="161" t="s">
        <v>525</v>
      </c>
      <c r="D39" s="60"/>
      <c r="E39" s="51"/>
    </row>
    <row r="40" ht="15.75" customHeight="1">
      <c r="A40" s="160" t="s">
        <v>526</v>
      </c>
      <c r="B40" s="60"/>
      <c r="C40" s="161" t="s">
        <v>488</v>
      </c>
      <c r="D40" s="60"/>
      <c r="E40" s="51"/>
    </row>
    <row r="41" ht="15.75" customHeight="1">
      <c r="A41" s="160" t="s">
        <v>527</v>
      </c>
      <c r="B41" s="60"/>
      <c r="C41" s="161" t="s">
        <v>528</v>
      </c>
      <c r="D41" s="60"/>
      <c r="E41" s="51"/>
    </row>
    <row r="42" ht="15.75" customHeight="1">
      <c r="A42" s="160" t="s">
        <v>529</v>
      </c>
      <c r="B42" s="60"/>
      <c r="C42" s="161" t="s">
        <v>530</v>
      </c>
      <c r="D42" s="60"/>
      <c r="E42" s="51"/>
    </row>
    <row r="43" ht="15.75" customHeight="1">
      <c r="A43" s="160" t="s">
        <v>531</v>
      </c>
      <c r="B43" s="60"/>
      <c r="C43" s="161" t="s">
        <v>532</v>
      </c>
      <c r="D43" s="60"/>
      <c r="E43" s="51"/>
    </row>
    <row r="44" ht="15.75" customHeight="1">
      <c r="A44" s="160" t="s">
        <v>533</v>
      </c>
      <c r="B44" s="60"/>
      <c r="C44" s="161" t="s">
        <v>534</v>
      </c>
      <c r="D44" s="60"/>
      <c r="E44" s="51"/>
    </row>
    <row r="45" ht="15.75" customHeight="1">
      <c r="A45" s="160" t="s">
        <v>535</v>
      </c>
      <c r="B45" s="60"/>
      <c r="C45" s="161" t="s">
        <v>536</v>
      </c>
      <c r="D45" s="60"/>
      <c r="E45" s="51"/>
    </row>
    <row r="46" ht="15.75" customHeight="1">
      <c r="A46" s="160" t="s">
        <v>507</v>
      </c>
      <c r="B46" s="60"/>
      <c r="C46" s="161" t="s">
        <v>537</v>
      </c>
      <c r="D46" s="60"/>
      <c r="E46" s="51"/>
    </row>
    <row r="47" ht="15.75" customHeight="1">
      <c r="A47" s="160" t="s">
        <v>538</v>
      </c>
      <c r="B47" s="60"/>
      <c r="C47" s="161" t="s">
        <v>539</v>
      </c>
      <c r="D47" s="60"/>
      <c r="E47" s="51"/>
    </row>
    <row r="48" ht="15.75" customHeight="1">
      <c r="A48" s="160" t="s">
        <v>540</v>
      </c>
      <c r="B48" s="60"/>
      <c r="C48" s="161" t="s">
        <v>469</v>
      </c>
      <c r="D48" s="60"/>
      <c r="E48" s="51"/>
    </row>
    <row r="49" ht="15.75" customHeight="1">
      <c r="A49" s="160" t="s">
        <v>541</v>
      </c>
      <c r="B49" s="60"/>
      <c r="C49" s="161" t="s">
        <v>542</v>
      </c>
      <c r="D49" s="60"/>
      <c r="E49" s="51"/>
    </row>
    <row r="50" ht="15.75" customHeight="1">
      <c r="A50" s="160" t="s">
        <v>543</v>
      </c>
      <c r="B50" s="60"/>
      <c r="C50" s="161" t="s">
        <v>544</v>
      </c>
      <c r="D50" s="60"/>
      <c r="E50" s="51"/>
    </row>
    <row r="51" ht="15.75" customHeight="1">
      <c r="A51" s="160" t="s">
        <v>545</v>
      </c>
      <c r="B51" s="60"/>
      <c r="C51" s="161" t="s">
        <v>546</v>
      </c>
      <c r="D51" s="60"/>
      <c r="E51" s="51"/>
    </row>
    <row r="52" ht="15.75" customHeight="1">
      <c r="A52" s="160" t="s">
        <v>547</v>
      </c>
      <c r="B52" s="60"/>
      <c r="C52" s="161" t="s">
        <v>548</v>
      </c>
      <c r="D52" s="60"/>
      <c r="E52" s="51"/>
    </row>
    <row r="53" ht="15.75" customHeight="1">
      <c r="A53" s="160" t="s">
        <v>549</v>
      </c>
      <c r="B53" s="60"/>
      <c r="C53" s="161" t="s">
        <v>550</v>
      </c>
      <c r="D53" s="60"/>
      <c r="E53" s="51"/>
    </row>
    <row r="54" ht="15.75" customHeight="1">
      <c r="A54" s="160" t="s">
        <v>551</v>
      </c>
      <c r="B54" s="60"/>
      <c r="C54" s="161" t="s">
        <v>552</v>
      </c>
      <c r="D54" s="60"/>
      <c r="E54" s="51"/>
    </row>
    <row r="55" ht="15.75" customHeight="1">
      <c r="A55" s="160" t="s">
        <v>533</v>
      </c>
      <c r="B55" s="60"/>
      <c r="C55" s="161" t="s">
        <v>487</v>
      </c>
      <c r="D55" s="60"/>
      <c r="E55" s="51"/>
    </row>
    <row r="56" ht="15.75" customHeight="1">
      <c r="A56" s="160" t="s">
        <v>553</v>
      </c>
      <c r="B56" s="60"/>
      <c r="C56" s="161" t="s">
        <v>554</v>
      </c>
      <c r="D56" s="60"/>
      <c r="E56" s="51"/>
    </row>
    <row r="57" ht="15.75" customHeight="1">
      <c r="A57" s="160" t="s">
        <v>555</v>
      </c>
      <c r="B57" s="60"/>
      <c r="C57" s="161" t="s">
        <v>556</v>
      </c>
      <c r="D57" s="60"/>
      <c r="E57" s="51"/>
    </row>
    <row r="58" ht="15.75" customHeight="1">
      <c r="A58" s="160" t="s">
        <v>557</v>
      </c>
      <c r="B58" s="60"/>
      <c r="C58" s="161" t="s">
        <v>558</v>
      </c>
      <c r="D58" s="60"/>
      <c r="E58" s="51"/>
    </row>
    <row r="59" ht="15.75" customHeight="1">
      <c r="A59" s="160" t="s">
        <v>559</v>
      </c>
      <c r="B59" s="60"/>
      <c r="C59" s="161" t="s">
        <v>491</v>
      </c>
      <c r="D59" s="60"/>
      <c r="E59" s="51"/>
    </row>
    <row r="60" ht="15.75" customHeight="1">
      <c r="A60" s="160" t="s">
        <v>560</v>
      </c>
      <c r="B60" s="60"/>
      <c r="C60" s="161" t="s">
        <v>561</v>
      </c>
      <c r="D60" s="60"/>
      <c r="E60" s="51"/>
    </row>
    <row r="61" ht="15.75" customHeight="1">
      <c r="A61" s="160" t="s">
        <v>562</v>
      </c>
      <c r="B61" s="60"/>
      <c r="C61" s="161" t="s">
        <v>563</v>
      </c>
      <c r="D61" s="60"/>
      <c r="E61" s="51"/>
    </row>
    <row r="62" ht="15.75" customHeight="1">
      <c r="A62" s="160" t="s">
        <v>564</v>
      </c>
      <c r="B62" s="60"/>
      <c r="C62" s="161" t="s">
        <v>565</v>
      </c>
      <c r="D62" s="60"/>
      <c r="E62" s="5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D2"/>
    <mergeCell ref="A3:D3"/>
    <mergeCell ref="A4:D4"/>
    <mergeCell ref="A22:D22"/>
    <mergeCell ref="A23:D23"/>
  </mergeCells>
  <drawing r:id="rId1"/>
</worksheet>
</file>